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Resumo" sheetId="2" state="visible" r:id="rId4"/>
    <sheet name="Rendimentos" sheetId="3" state="visible" r:id="rId5"/>
    <sheet name="Deduções" sheetId="4" state="visible" r:id="rId6"/>
    <sheet name="Bens e Direitos" sheetId="5" state="visible" r:id="rId7"/>
    <sheet name="Checklist" sheetId="6" state="visible" r:id="rId8"/>
    <sheet name="Listas" sheetId="7" state="visible" r:id="rId9"/>
  </sheets>
  <definedNames>
    <definedName function="false" hidden="false" name="ano_base" vbProcedure="false">Menu!$C$6</definedName>
    <definedName function="false" hidden="false" name="bens_anterior" vbProcedure="false">'Bens e Direitos'!$D$6:$D$205</definedName>
    <definedName function="false" hidden="false" name="bens_atual" vbProcedure="false">'Bens e Direitos'!$E$6:$E$205</definedName>
    <definedName function="false" hidden="false" name="bens_grupo" vbProcedure="false">'Bens e Direitos'!$C$6:$C$205</definedName>
    <definedName function="false" hidden="false" name="bens_situacao" vbProcedure="false">'Bens e Direitos'!$I$6:$I$205</definedName>
    <definedName function="false" hidden="false" name="check_docs" vbProcedure="false">Checklist!$B$6:$B$55</definedName>
    <definedName function="false" hidden="false" name="check_status" vbProcedure="false">Checklist!$D$6:$D$55</definedName>
    <definedName function="false" hidden="false" name="desp_categoria" vbProcedure="false">Deduções!$E$6:$E$205</definedName>
    <definedName function="false" hidden="false" name="desp_liquido" vbProcedure="false">Deduções!$H$6:$H$205</definedName>
    <definedName function="false" hidden="false" name="desp_situacao" vbProcedure="false">Deduções!$J$6:$J$205</definedName>
    <definedName function="false" hidden="false" name="grupos_bens" vbProcedure="false">Listas!$F$6:$F$11</definedName>
    <definedName function="false" hidden="false" name="rend_bruto" vbProcedure="false">Rendimentos!$F$6:$F$205</definedName>
    <definedName function="false" hidden="false" name="rend_ir" vbProcedure="false">Rendimentos!$G$6:$G$205</definedName>
    <definedName function="false" hidden="false" name="rend_situacao" vbProcedure="false">Rendimentos!$I$6:$I$205</definedName>
    <definedName function="false" hidden="false" name="rend_tipo" vbProcedure="false">Rendimentos!$E$6:$E$205</definedName>
    <definedName function="false" hidden="false" name="sim_nao" vbProcedure="false">Listas!$J$6:$J$7</definedName>
    <definedName function="false" hidden="false" name="status_doc" vbProcedure="false">Listas!$H$6:$H$8</definedName>
    <definedName function="false" hidden="false" name="tipos_despesa" vbProcedure="false">Listas!$D$6:$D$10</definedName>
    <definedName function="false" hidden="false" name="tipos_rendimento" vbProcedure="false">Listas!$B$6:$B$11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<sst xmlns="http://schemas.openxmlformats.org/spreadsheetml/2006/main" count="176" uniqueCount="134">
  <si>
    <t xml:space="preserve">AGREGADOR DE DADOS PARA O IMPOSTO DE RENDA</t>
  </si>
  <si>
    <t xml:space="preserve">Organize rendimentos, despesas, bens e documentos em um só lugar. Células amarelas e textos azuis são editáveis; células cinzas são calculadas.</t>
  </si>
  <si>
    <t xml:space="preserve">Ano-calendário (ano dos rendimentos)</t>
  </si>
  <si>
    <t xml:space="preserve">Navegação</t>
  </si>
  <si>
    <t xml:space="preserve">Totais por categoria, pendências e gráfico, atualizados automaticamente.</t>
  </si>
  <si>
    <t xml:space="preserve">Registre salários, aluguéis, aplicações e o IR retido de cada fonte.</t>
  </si>
  <si>
    <t xml:space="preserve">Registre despesas dedutíveis (saúde, educação, previdência...) e comprovantes.</t>
  </si>
  <si>
    <t xml:space="preserve">Liste bens e saldos em 31/12 do ano anterior e do ano-calendário.</t>
  </si>
  <si>
    <t xml:space="preserve">Acompanhe quais informes e comprovantes já chegaram e foram conferidos.</t>
  </si>
  <si>
    <t xml:space="preserve">Opções dos menus suspensos (tipos, categorias, grupos, status).</t>
  </si>
  <si>
    <t xml:space="preserve">Links rápidos</t>
  </si>
  <si>
    <t xml:space="preserve">Site oficial: notícias, regras e orientações do Imposto de Renda.</t>
  </si>
  <si>
    <t xml:space="preserve">Programas e orientações para preencher e enviar a declaração.</t>
  </si>
  <si>
    <t xml:space="preserve">Atendimento virtual: situação fiscal, extrato e pendências.</t>
  </si>
  <si>
    <t xml:space="preserve">Acesso aos serviços digitais do governo federal.</t>
  </si>
  <si>
    <t xml:space="preserve">Como usar</t>
  </si>
  <si>
    <t xml:space="preserve">1. Confirme o ano-calendário acima.</t>
  </si>
  <si>
    <t xml:space="preserve">2. Preencha Rendimentos, Deduções e Bens e Direitos (as linhas de exemplo têm valores fictícios: apague-as).</t>
  </si>
  <si>
    <t xml:space="preserve">3. Use o Checklist para marcar cada documento como Pendente, Recebido ou Conferido.</t>
  </si>
  <si>
    <t xml:space="preserve">4. Consulte o Resumo: totais por categoria e quantas pendências ainda existem.</t>
  </si>
  <si>
    <t xml:space="preserve">Aviso: esta planilha é uma ferramenta de organização. Ela não substitui o programa oficial da Receita Federal. Regras, limites e prazos mudam a cada ano: confirme sempre no site oficial. Todos os valores de exemplo são fictícios.</t>
  </si>
  <si>
    <t xml:space="preserve">RESUMO GERAL</t>
  </si>
  <si>
    <t xml:space="preserve">Ano-calendário:</t>
  </si>
  <si>
    <t xml:space="preserve">Rendimentos por tipo</t>
  </si>
  <si>
    <t xml:space="preserve">Tipo</t>
  </si>
  <si>
    <t xml:space="preserve">Valor bruto (R$)</t>
  </si>
  <si>
    <t xml:space="preserve">IR retido (R$)</t>
  </si>
  <si>
    <t xml:space="preserve">Total</t>
  </si>
  <si>
    <t xml:space="preserve">Despesas dedutíveis por categoria</t>
  </si>
  <si>
    <t xml:space="preserve">Categoria</t>
  </si>
  <si>
    <t xml:space="preserve">Valor líquido (R$)</t>
  </si>
  <si>
    <t xml:space="preserve">% do total</t>
  </si>
  <si>
    <t xml:space="preserve">Bens e direitos por grupo</t>
  </si>
  <si>
    <t xml:space="preserve">Grupo</t>
  </si>
  <si>
    <t xml:space="preserve">31/12 ano anterior (R$)</t>
  </si>
  <si>
    <t xml:space="preserve">31/12 ano-calendário (R$)</t>
  </si>
  <si>
    <t xml:space="preserve">Pendências</t>
  </si>
  <si>
    <t xml:space="preserve">Onde</t>
  </si>
  <si>
    <t xml:space="preserve">Itens pendentes</t>
  </si>
  <si>
    <t xml:space="preserve">Rendimentos</t>
  </si>
  <si>
    <t xml:space="preserve">Deduções</t>
  </si>
  <si>
    <t xml:space="preserve">Bens e direitos</t>
  </si>
  <si>
    <t xml:space="preserve">Documentos ainda não conferidos</t>
  </si>
  <si>
    <t xml:space="preserve">Checklist conferido (%)</t>
  </si>
  <si>
    <t xml:space="preserve">Situação geral</t>
  </si>
  <si>
    <t xml:space="preserve">RENDIMENTOS</t>
  </si>
  <si>
    <t xml:space="preserve">Exemplo nas 3 primeiras linhas (fictício): apague ao usar.</t>
  </si>
  <si>
    <t xml:space="preserve">Data</t>
  </si>
  <si>
    <t xml:space="preserve">Fonte pagadora</t>
  </si>
  <si>
    <t xml:space="preserve">CPF / CNPJ
(só números)</t>
  </si>
  <si>
    <t xml:space="preserve">Tipo de rendimento</t>
  </si>
  <si>
    <t xml:space="preserve">Informe recebido?</t>
  </si>
  <si>
    <t xml:space="preserve">Situação</t>
  </si>
  <si>
    <t xml:space="preserve">Empresa Exemplo Ltda</t>
  </si>
  <si>
    <t xml:space="preserve">12345678000190</t>
  </si>
  <si>
    <t xml:space="preserve">Salário / trabalho assalariado</t>
  </si>
  <si>
    <t xml:space="preserve">Sim</t>
  </si>
  <si>
    <t xml:space="preserve">Banco Exemplo S.A.</t>
  </si>
  <si>
    <t xml:space="preserve">98765432000110</t>
  </si>
  <si>
    <t xml:space="preserve">Aplicações financeiras</t>
  </si>
  <si>
    <t xml:space="preserve">Locatário Fictício</t>
  </si>
  <si>
    <t xml:space="preserve">12345678901</t>
  </si>
  <si>
    <t xml:space="preserve">Aluguéis</t>
  </si>
  <si>
    <t xml:space="preserve">Não</t>
  </si>
  <si>
    <t xml:space="preserve">DEDUÇÕES (DESPESAS)</t>
  </si>
  <si>
    <t xml:space="preserve">Prestador / beneficiário</t>
  </si>
  <si>
    <t xml:space="preserve">Valor pago (R$)</t>
  </si>
  <si>
    <t xml:space="preserve">Reembolso (R$)</t>
  </si>
  <si>
    <t xml:space="preserve">Comprovante em mãos?</t>
  </si>
  <si>
    <t xml:space="preserve">Clínica Exemplo</t>
  </si>
  <si>
    <t xml:space="preserve">11222333000144</t>
  </si>
  <si>
    <t xml:space="preserve">Saúde</t>
  </si>
  <si>
    <t xml:space="preserve">Escola Exemplo</t>
  </si>
  <si>
    <t xml:space="preserve">55666777000188</t>
  </si>
  <si>
    <t xml:space="preserve">Educação</t>
  </si>
  <si>
    <t xml:space="preserve">Laboratório Fictício</t>
  </si>
  <si>
    <t xml:space="preserve">99888777000166</t>
  </si>
  <si>
    <t xml:space="preserve">BENS E DIREITOS</t>
  </si>
  <si>
    <t xml:space="preserve">Descrição</t>
  </si>
  <si>
    <t xml:space="preserve">Valor em 31/12 do ano anterior (R$)</t>
  </si>
  <si>
    <t xml:space="preserve">Valor em 31/12 do ano-calendário (R$)</t>
  </si>
  <si>
    <t xml:space="preserve">Variação (R$)</t>
  </si>
  <si>
    <t xml:space="preserve">Observações</t>
  </si>
  <si>
    <t xml:space="preserve">Documento em mãos?</t>
  </si>
  <si>
    <t xml:space="preserve">Apartamento exemplo (financiado)</t>
  </si>
  <si>
    <t xml:space="preserve">Imóveis</t>
  </si>
  <si>
    <t xml:space="preserve">Carro exemplo</t>
  </si>
  <si>
    <t xml:space="preserve">Veículos</t>
  </si>
  <si>
    <t xml:space="preserve">Conta corrente Banco Exemplo</t>
  </si>
  <si>
    <t xml:space="preserve">Depósitos e saldos em conta</t>
  </si>
  <si>
    <t xml:space="preserve">CHECKLIST DE DOCUMENTOS</t>
  </si>
  <si>
    <t xml:space="preserve">Os 10 documentos são sugestões: edite à vontade.</t>
  </si>
  <si>
    <t xml:space="preserve">Documento</t>
  </si>
  <si>
    <t xml:space="preserve">Origem</t>
  </si>
  <si>
    <t xml:space="preserve">Status</t>
  </si>
  <si>
    <t xml:space="preserve">Informe de rendimentos do empregador</t>
  </si>
  <si>
    <t xml:space="preserve">Empresa / RH</t>
  </si>
  <si>
    <t xml:space="preserve">Pendente</t>
  </si>
  <si>
    <t xml:space="preserve">Informe de rendimentos bancários</t>
  </si>
  <si>
    <t xml:space="preserve">Bancos</t>
  </si>
  <si>
    <t xml:space="preserve">Informe de corretora / investimentos</t>
  </si>
  <si>
    <t xml:space="preserve">Corretoras</t>
  </si>
  <si>
    <t xml:space="preserve">Recibos e comprovantes de saúde</t>
  </si>
  <si>
    <t xml:space="preserve">Médicos, clínicas, planos</t>
  </si>
  <si>
    <t xml:space="preserve">Comprovantes de educação</t>
  </si>
  <si>
    <t xml:space="preserve">Escolas e faculdades</t>
  </si>
  <si>
    <t xml:space="preserve">Extrato de previdência privada</t>
  </si>
  <si>
    <t xml:space="preserve">Seguradora / banco</t>
  </si>
  <si>
    <t xml:space="preserve">Documentos de imóveis</t>
  </si>
  <si>
    <t xml:space="preserve">Cartório / construtora</t>
  </si>
  <si>
    <t xml:space="preserve">Documentos de veículos</t>
  </si>
  <si>
    <t xml:space="preserve">Detran / concessionária</t>
  </si>
  <si>
    <t xml:space="preserve">Informações de dependentes (CPF, datas)</t>
  </si>
  <si>
    <t xml:space="preserve">Documentos pessoais</t>
  </si>
  <si>
    <t xml:space="preserve">Declaração do ano anterior e recibo</t>
  </si>
  <si>
    <t xml:space="preserve">Arquivo pessoal</t>
  </si>
  <si>
    <t xml:space="preserve">Listas de apoio</t>
  </si>
  <si>
    <t xml:space="preserve">Tipos de rendimento</t>
  </si>
  <si>
    <t xml:space="preserve">Categorias de despesa</t>
  </si>
  <si>
    <t xml:space="preserve">Grupos de bens</t>
  </si>
  <si>
    <t xml:space="preserve">Status do documento</t>
  </si>
  <si>
    <t xml:space="preserve">Sim / Não</t>
  </si>
  <si>
    <t xml:space="preserve">Recebido</t>
  </si>
  <si>
    <t xml:space="preserve">Previdência (INSS / PGBL)</t>
  </si>
  <si>
    <t xml:space="preserve">Aplicações e investimentos</t>
  </si>
  <si>
    <t xml:space="preserve">Conferido</t>
  </si>
  <si>
    <t xml:space="preserve">Dividendos e proventos</t>
  </si>
  <si>
    <t xml:space="preserve">Pensão alimentícia</t>
  </si>
  <si>
    <t xml:space="preserve">Trabalho autônomo</t>
  </si>
  <si>
    <t xml:space="preserve">Outras despesas</t>
  </si>
  <si>
    <t xml:space="preserve">Participações societárias</t>
  </si>
  <si>
    <t xml:space="preserve">Outros rendimentos</t>
  </si>
  <si>
    <t xml:space="preserve">Outros bens</t>
  </si>
  <si>
    <t xml:space="preserve">Para incluir uma opção nova, edite o texto de uma linha existente. As listas alimentam os menus suspensos e os totais do Resumo.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</si>
</sst>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&quot;R$ &quot;#,##0.00"/>
    <numFmt numFmtId="167" formatCode="0.0%"/>
    <numFmt numFmtId="168" formatCode="0%"/>
    <numFmt numFmtId="169" formatCode="dd/mm/yyyy"/>
    <numFmt numFmtId="170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2F5496"/>
        <bgColor rgb="FF1F3864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548235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Despesas dedutíveis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Resumo!C17</c:f>
              <c:strCache>
                <c:ptCount val="1"/>
                <c:pt idx="0">
                  <c:v>Valor líquido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Resumo!$B$18:$B$22</c:f>
              <c:strCache>
                <c:ptCount val="5"/>
                <c:pt idx="0">
                  <c:v>Saúde</c:v>
                </c:pt>
                <c:pt idx="1">
                  <c:v>Educação</c:v>
                </c:pt>
                <c:pt idx="2">
                  <c:v>Previdência (INSS / PGBL)</c:v>
                </c:pt>
                <c:pt idx="3">
                  <c:v>Pensão alimentícia</c:v>
                </c:pt>
                <c:pt idx="4">
                  <c:v>Outras despesas</c:v>
                </c:pt>
              </c:strCache>
            </c:strRef>
          </c:cat>
          <c:val>
            <c:numRef>
              <c:f>Resumo!$C$18:$C$22</c:f>
              <c:numCache>
                <c:formatCode>"R$ "#,##0.00</c:formatCode>
                <c:ptCount val="5"/>
                <c:pt idx="0">
                  <c:v>650</c:v>
                </c:pt>
                <c:pt idx="1">
                  <c:v>1200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4302794"/>
        <c:axId val="86316357"/>
      </c:barChart>
      <c:catAx>
        <c:axId val="143027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16357"/>
        <c:crosses val="autoZero"/>
        <c:auto val="1"/>
        <c:lblAlgn val="ctr"/>
        <c:lblOffset val="100"/>
        <c:noMultiLvlLbl val="0"/>
      </c:catAx>
      <c:valAx>
        <c:axId val="863163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027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14</xdr:col>
      <xdr:colOff>256320</xdr:colOff>
      <xdr:row>17</xdr:row>
      <xdr:rowOff>98280</xdr:rowOff>
    </xdr:to>
    <xdr:graphicFrame>
      <xdr:nvGraphicFramePr>
        <xdr:cNvPr id="0" name="Chart 1"/>
        <xdr:cNvGraphicFramePr/>
      </xdr:nvGraphicFramePr>
      <xdr:xfrm>
        <a:off x="6555240" y="952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2"/>
  </cols>
  <sheetData>
    <row r="1" customFormat="false" ht="15" hidden="false" customHeight="fals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B2" s="1"/>
      <c r="C2" s="1"/>
      <c r="D2" s="1"/>
    </row>
    <row r="3" customFormat="false" ht="15" hidden="false" customHeight="false" outlineLevel="0" collapsed="false">
      <c r="B3" s="1"/>
      <c r="C3" s="1"/>
      <c r="D3" s="1"/>
    </row>
    <row r="4" customFormat="false" ht="15" hidden="false" customHeight="false" outlineLevel="0" collapsed="false">
      <c r="B4" s="2" t="s">
        <v>1</v>
      </c>
      <c r="C4" s="2"/>
    </row>
    <row r="6" customFormat="false" ht="15" hidden="false" customHeight="false" outlineLevel="0" collapsed="false">
      <c r="B6" s="3" t="s">
        <v>2</v>
      </c>
      <c r="C6" s="4" t="n">
        <v>2026</v>
      </c>
    </row>
    <row r="8" customFormat="false" ht="19.5" hidden="false" customHeight="true" outlineLevel="0" collapsed="false">
      <c r="B8" s="5" t="s">
        <v>3</v>
      </c>
      <c r="C8" s="5"/>
    </row>
    <row r="9" customFormat="false" ht="24" hidden="false" customHeight="true" outlineLevel="0" collapsed="false">
      <c r="B9" s="6" t="str">
        <f aca="false">HYPERLINK("#'Resumo'!A1","Resumo geral")</f>
        <v>Resumo geral</v>
      </c>
      <c r="C9" s="7" t="s">
        <v>4</v>
      </c>
    </row>
    <row r="10" customFormat="false" ht="24" hidden="false" customHeight="true" outlineLevel="0" collapsed="false">
      <c r="B10" s="6" t="str">
        <f aca="false">HYPERLINK("#'Rendimentos'!A1","Rendimentos")</f>
        <v>Rendimentos</v>
      </c>
      <c r="C10" s="7" t="s">
        <v>5</v>
      </c>
    </row>
    <row r="11" customFormat="false" ht="24" hidden="false" customHeight="true" outlineLevel="0" collapsed="false">
      <c r="B11" s="6" t="str">
        <f aca="false">HYPERLINK("#'Deduções'!A1","Deduções")</f>
        <v>Deduções</v>
      </c>
      <c r="C11" s="7" t="s">
        <v>6</v>
      </c>
    </row>
    <row r="12" customFormat="false" ht="24" hidden="false" customHeight="true" outlineLevel="0" collapsed="false">
      <c r="B12" s="6" t="str">
        <f aca="false">HYPERLINK("#'Bens e Direitos'!A1","Bens e direitos")</f>
        <v>Bens e direitos</v>
      </c>
      <c r="C12" s="7" t="s">
        <v>7</v>
      </c>
    </row>
    <row r="13" customFormat="false" ht="24" hidden="false" customHeight="true" outlineLevel="0" collapsed="false">
      <c r="B13" s="6" t="str">
        <f aca="false">HYPERLINK("#'Checklist'!A1","Checklist de documentos")</f>
        <v>Checklist de documentos</v>
      </c>
      <c r="C13" s="7" t="s">
        <v>8</v>
      </c>
    </row>
    <row r="14" customFormat="false" ht="24" hidden="false" customHeight="true" outlineLevel="0" collapsed="false">
      <c r="B14" s="6" t="str">
        <f aca="false">HYPERLINK("#'Listas'!A1","Listas de apoio")</f>
        <v>Listas de apoio</v>
      </c>
      <c r="C14" s="7" t="s">
        <v>9</v>
      </c>
    </row>
    <row r="16" customFormat="false" ht="19.5" hidden="false" customHeight="true" outlineLevel="0" collapsed="false">
      <c r="B16" s="5" t="s">
        <v>10</v>
      </c>
      <c r="C16" s="5"/>
    </row>
    <row r="17" customFormat="false" ht="15" hidden="false" customHeight="false" outlineLevel="0" collapsed="false">
      <c r="B17" s="8" t="str">
        <f aca="false">HYPERLINK("https://www.gov.br/receitafederal/pt-br","Receita Federal")</f>
        <v>Receita Federal</v>
      </c>
      <c r="C17" s="9" t="s">
        <v>11</v>
      </c>
    </row>
    <row r="18" customFormat="false" ht="15" hidden="false" customHeight="false" outlineLevel="0" collapsed="false">
      <c r="B18" s="8" t="str">
        <f aca="false">HYPERLINK("https://www.gov.br/receitafederal/pt-br/assuntos/meu-imposto-de-renda","Meu Imposto de Renda")</f>
        <v>Meu Imposto de Renda</v>
      </c>
      <c r="C18" s="9" t="s">
        <v>12</v>
      </c>
    </row>
    <row r="19" customFormat="false" ht="15" hidden="false" customHeight="false" outlineLevel="0" collapsed="false">
      <c r="B19" s="8" t="str">
        <f aca="false">HYPERLINK("https://cav.receita.fazenda.gov.br/","e-CAC")</f>
        <v>e-CAC</v>
      </c>
      <c r="C19" s="9" t="s">
        <v>13</v>
      </c>
    </row>
    <row r="20" customFormat="false" ht="15" hidden="false" customHeight="false" outlineLevel="0" collapsed="false">
      <c r="B20" s="8" t="str">
        <f aca="false">HYPERLINK("https://www.gov.br/","Conta gov.br")</f>
        <v>Conta gov.br</v>
      </c>
      <c r="C20" s="9" t="s">
        <v>14</v>
      </c>
    </row>
    <row r="22" customFormat="false" ht="19.5" hidden="false" customHeight="true" outlineLevel="0" collapsed="false">
      <c r="B22" s="5" t="s">
        <v>15</v>
      </c>
      <c r="C22" s="5"/>
    </row>
    <row r="23" customFormat="false" ht="15" hidden="false" customHeight="false" outlineLevel="0" collapsed="false">
      <c r="B23" s="10" t="s">
        <v>16</v>
      </c>
      <c r="C23" s="10"/>
    </row>
    <row r="24" customFormat="false" ht="15" hidden="false" customHeight="false" outlineLevel="0" collapsed="false">
      <c r="B24" s="10" t="s">
        <v>17</v>
      </c>
      <c r="C24" s="10"/>
    </row>
    <row r="25" customFormat="false" ht="15" hidden="false" customHeight="false" outlineLevel="0" collapsed="false">
      <c r="B25" s="10" t="s">
        <v>18</v>
      </c>
      <c r="C25" s="10"/>
    </row>
    <row r="26" customFormat="false" ht="15" hidden="false" customHeight="false" outlineLevel="0" collapsed="false">
      <c r="B26" s="10" t="s">
        <v>19</v>
      </c>
      <c r="C26" s="10"/>
    </row>
    <row r="28" customFormat="false" ht="15" hidden="false" customHeight="true" outlineLevel="0" collapsed="false">
      <c r="B28" s="11" t="s">
        <v>20</v>
      </c>
      <c r="C28" s="11"/>
    </row>
    <row r="29" customFormat="false" ht="15" hidden="false" customHeight="false" outlineLevel="0" collapsed="false">
      <c r="B29" s="11"/>
      <c r="C29" s="11"/>
    </row>
  </sheetData>
  <mergeCells count="10">
    <mergeCell ref="B1:D3"/>
    <mergeCell ref="B4:C4"/>
    <mergeCell ref="B8:C8"/>
    <mergeCell ref="B16:C16"/>
    <mergeCell ref="B22:C22"/>
    <mergeCell ref="B23:C23"/>
    <mergeCell ref="B24:C24"/>
    <mergeCell ref="B25:C25"/>
    <mergeCell ref="B26:C26"/>
    <mergeCell ref="B28:C29"/>
  </mergeCells>
  <dataValidations count="1">
    <dataValidation allowBlank="false" error="Informe um ano com 4 dígitos (ex.: 2026)." errorStyle="stop" errorTitle="Ano inválido" operator="between" showDropDown="false" showErrorMessage="true" showInputMessage="false" sqref="C6" type="whole">
      <formula1>2000</formula1>
      <formula2>2100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B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24"/>
    <col collapsed="false" customWidth="true" hidden="false" outlineLevel="0" max="5" min="5" style="0" width="3"/>
  </cols>
  <sheetData>
    <row r="1" customFormat="false" ht="15" hidden="false" customHeight="false" outlineLevel="0" collapsed="false">
      <c r="B1" s="1" t="s">
        <v>21</v>
      </c>
      <c r="C1" s="1"/>
      <c r="D1" s="1"/>
    </row>
    <row r="2" customFormat="false" ht="15" hidden="false" customHeight="false" outlineLevel="0" collapsed="false">
      <c r="B2" s="1"/>
      <c r="C2" s="1"/>
      <c r="D2" s="1"/>
    </row>
    <row r="3" customFormat="false" ht="15" hidden="false" customHeight="false" outlineLevel="0" collapsed="false">
      <c r="B3" s="1"/>
      <c r="C3" s="1"/>
      <c r="D3" s="1"/>
    </row>
    <row r="4" customFormat="false" ht="15" hidden="false" customHeight="false" outlineLevel="0" collapsed="false">
      <c r="B4" s="12" t="str">
        <f aca="false">HYPERLINK("#'Menu'!A1","« Voltar ao Menu")</f>
        <v>« Voltar ao Menu</v>
      </c>
      <c r="C4" s="13" t="s">
        <v>22</v>
      </c>
      <c r="D4" s="14" t="n">
        <f aca="false">ano_base</f>
        <v>2026</v>
      </c>
    </row>
    <row r="6" customFormat="false" ht="19.5" hidden="false" customHeight="true" outlineLevel="0" collapsed="false">
      <c r="B6" s="5" t="s">
        <v>23</v>
      </c>
      <c r="C6" s="5"/>
      <c r="D6" s="5"/>
    </row>
    <row r="7" customFormat="false" ht="30" hidden="false" customHeight="true" outlineLevel="0" collapsed="false">
      <c r="B7" s="15" t="s">
        <v>24</v>
      </c>
      <c r="C7" s="15" t="s">
        <v>25</v>
      </c>
      <c r="D7" s="15" t="s">
        <v>26</v>
      </c>
    </row>
    <row r="8" customFormat="false" ht="15" hidden="false" customHeight="false" outlineLevel="0" collapsed="false">
      <c r="B8" s="16" t="str">
        <f aca="false">Listas!B6</f>
        <v>Salário / trabalho assalariado</v>
      </c>
      <c r="C8" s="17" t="n">
        <f aca="false">SUMIFS(rend_bruto,rend_tipo,B8)</f>
        <v>6500</v>
      </c>
      <c r="D8" s="17" t="n">
        <f aca="false">SUMIFS(rend_ir,rend_tipo,B8)</f>
        <v>820.5</v>
      </c>
    </row>
    <row r="9" customFormat="false" ht="15" hidden="false" customHeight="false" outlineLevel="0" collapsed="false">
      <c r="B9" s="16" t="str">
        <f aca="false">Listas!B7</f>
        <v>Aluguéis</v>
      </c>
      <c r="C9" s="17" t="n">
        <f aca="false">SUMIFS(rend_bruto,rend_tipo,B9)</f>
        <v>2800</v>
      </c>
      <c r="D9" s="17" t="n">
        <f aca="false">SUMIFS(rend_ir,rend_tipo,B9)</f>
        <v>0</v>
      </c>
    </row>
    <row r="10" customFormat="false" ht="15" hidden="false" customHeight="false" outlineLevel="0" collapsed="false">
      <c r="B10" s="16" t="str">
        <f aca="false">Listas!B8</f>
        <v>Aplicações financeiras</v>
      </c>
      <c r="C10" s="17" t="n">
        <f aca="false">SUMIFS(rend_bruto,rend_tipo,B10)</f>
        <v>1240.3</v>
      </c>
      <c r="D10" s="17" t="n">
        <f aca="false">SUMIFS(rend_ir,rend_tipo,B10)</f>
        <v>186.05</v>
      </c>
    </row>
    <row r="11" customFormat="false" ht="15" hidden="false" customHeight="false" outlineLevel="0" collapsed="false">
      <c r="B11" s="16" t="str">
        <f aca="false">Listas!B9</f>
        <v>Dividendos e proventos</v>
      </c>
      <c r="C11" s="17" t="n">
        <f aca="false">SUMIFS(rend_bruto,rend_tipo,B11)</f>
        <v>0</v>
      </c>
      <c r="D11" s="17" t="n">
        <f aca="false">SUMIFS(rend_ir,rend_tipo,B11)</f>
        <v>0</v>
      </c>
    </row>
    <row r="12" customFormat="false" ht="15" hidden="false" customHeight="false" outlineLevel="0" collapsed="false">
      <c r="B12" s="16" t="str">
        <f aca="false">Listas!B10</f>
        <v>Trabalho autônomo</v>
      </c>
      <c r="C12" s="17" t="n">
        <f aca="false">SUMIFS(rend_bruto,rend_tipo,B12)</f>
        <v>0</v>
      </c>
      <c r="D12" s="17" t="n">
        <f aca="false">SUMIFS(rend_ir,rend_tipo,B12)</f>
        <v>0</v>
      </c>
    </row>
    <row r="13" customFormat="false" ht="15" hidden="false" customHeight="false" outlineLevel="0" collapsed="false">
      <c r="B13" s="16" t="str">
        <f aca="false">Listas!B11</f>
        <v>Outros rendimentos</v>
      </c>
      <c r="C13" s="17" t="n">
        <f aca="false">SUMIFS(rend_bruto,rend_tipo,B13)</f>
        <v>0</v>
      </c>
      <c r="D13" s="17" t="n">
        <f aca="false">SUMIFS(rend_ir,rend_tipo,B13)</f>
        <v>0</v>
      </c>
    </row>
    <row r="14" customFormat="false" ht="15" hidden="false" customHeight="false" outlineLevel="0" collapsed="false">
      <c r="B14" s="18" t="s">
        <v>27</v>
      </c>
      <c r="C14" s="19" t="n">
        <f aca="false">SUM(C8:C13)</f>
        <v>10540.3</v>
      </c>
      <c r="D14" s="19" t="n">
        <f aca="false">SUM(D8:D13)</f>
        <v>1006.55</v>
      </c>
    </row>
    <row r="16" customFormat="false" ht="19.5" hidden="false" customHeight="true" outlineLevel="0" collapsed="false">
      <c r="B16" s="5" t="s">
        <v>28</v>
      </c>
      <c r="C16" s="5"/>
      <c r="D16" s="5"/>
    </row>
    <row r="17" customFormat="false" ht="30" hidden="false" customHeight="true" outlineLevel="0" collapsed="false">
      <c r="B17" s="15" t="s">
        <v>29</v>
      </c>
      <c r="C17" s="15" t="s">
        <v>30</v>
      </c>
      <c r="D17" s="15" t="s">
        <v>31</v>
      </c>
    </row>
    <row r="18" customFormat="false" ht="15" hidden="false" customHeight="false" outlineLevel="0" collapsed="false">
      <c r="B18" s="16" t="str">
        <f aca="false">Listas!D6</f>
        <v>Saúde</v>
      </c>
      <c r="C18" s="17" t="n">
        <f aca="false">SUMIFS(desp_liquido,desp_categoria,B18)</f>
        <v>650</v>
      </c>
      <c r="D18" s="20" t="n">
        <f aca="false">IF($C$23=0,0,C18/$C$23)</f>
        <v>0.351351351351351</v>
      </c>
    </row>
    <row r="19" customFormat="false" ht="15" hidden="false" customHeight="false" outlineLevel="0" collapsed="false">
      <c r="B19" s="16" t="str">
        <f aca="false">Listas!D7</f>
        <v>Educação</v>
      </c>
      <c r="C19" s="17" t="n">
        <f aca="false">SUMIFS(desp_liquido,desp_categoria,B19)</f>
        <v>1200</v>
      </c>
      <c r="D19" s="20" t="n">
        <f aca="false">IF($C$23=0,0,C19/$C$23)</f>
        <v>0.648648648648649</v>
      </c>
    </row>
    <row r="20" customFormat="false" ht="15" hidden="false" customHeight="false" outlineLevel="0" collapsed="false">
      <c r="B20" s="16" t="str">
        <f aca="false">Listas!D8</f>
        <v>Previdência (INSS / PGBL)</v>
      </c>
      <c r="C20" s="17" t="n">
        <f aca="false">SUMIFS(desp_liquido,desp_categoria,B20)</f>
        <v>0</v>
      </c>
      <c r="D20" s="20" t="n">
        <f aca="false">IF($C$23=0,0,C20/$C$23)</f>
        <v>0</v>
      </c>
    </row>
    <row r="21" customFormat="false" ht="15" hidden="false" customHeight="false" outlineLevel="0" collapsed="false">
      <c r="B21" s="16" t="str">
        <f aca="false">Listas!D9</f>
        <v>Pensão alimentícia</v>
      </c>
      <c r="C21" s="17" t="n">
        <f aca="false">SUMIFS(desp_liquido,desp_categoria,B21)</f>
        <v>0</v>
      </c>
      <c r="D21" s="20" t="n">
        <f aca="false">IF($C$23=0,0,C21/$C$23)</f>
        <v>0</v>
      </c>
    </row>
    <row r="22" customFormat="false" ht="15" hidden="false" customHeight="false" outlineLevel="0" collapsed="false">
      <c r="B22" s="16" t="str">
        <f aca="false">Listas!D10</f>
        <v>Outras despesas</v>
      </c>
      <c r="C22" s="17" t="n">
        <f aca="false">SUMIFS(desp_liquido,desp_categoria,B22)</f>
        <v>0</v>
      </c>
      <c r="D22" s="20" t="n">
        <f aca="false">IF($C$23=0,0,C22/$C$23)</f>
        <v>0</v>
      </c>
    </row>
    <row r="23" customFormat="false" ht="15" hidden="false" customHeight="false" outlineLevel="0" collapsed="false">
      <c r="B23" s="18" t="s">
        <v>27</v>
      </c>
      <c r="C23" s="19" t="n">
        <f aca="false">SUM(C18:C22)</f>
        <v>1850</v>
      </c>
      <c r="D23" s="21" t="n">
        <f aca="false">SUM(D18:D22)</f>
        <v>1</v>
      </c>
    </row>
    <row r="25" customFormat="false" ht="19.5" hidden="false" customHeight="true" outlineLevel="0" collapsed="false">
      <c r="B25" s="5" t="s">
        <v>32</v>
      </c>
      <c r="C25" s="5"/>
      <c r="D25" s="5"/>
    </row>
    <row r="26" customFormat="false" ht="30" hidden="false" customHeight="true" outlineLevel="0" collapsed="false">
      <c r="B26" s="15" t="s">
        <v>33</v>
      </c>
      <c r="C26" s="15" t="s">
        <v>34</v>
      </c>
      <c r="D26" s="15" t="s">
        <v>35</v>
      </c>
    </row>
    <row r="27" customFormat="false" ht="15" hidden="false" customHeight="false" outlineLevel="0" collapsed="false">
      <c r="B27" s="16" t="str">
        <f aca="false">Listas!F6</f>
        <v>Imóveis</v>
      </c>
      <c r="C27" s="17" t="n">
        <f aca="false">SUMIFS(bens_anterior,bens_grupo,B27)</f>
        <v>280000</v>
      </c>
      <c r="D27" s="17" t="n">
        <f aca="false">SUMIFS(bens_atual,bens_grupo,B27)</f>
        <v>280000</v>
      </c>
    </row>
    <row r="28" customFormat="false" ht="15" hidden="false" customHeight="false" outlineLevel="0" collapsed="false">
      <c r="B28" s="16" t="str">
        <f aca="false">Listas!F7</f>
        <v>Veículos</v>
      </c>
      <c r="C28" s="17" t="n">
        <f aca="false">SUMIFS(bens_anterior,bens_grupo,B28)</f>
        <v>45000</v>
      </c>
      <c r="D28" s="17" t="n">
        <f aca="false">SUMIFS(bens_atual,bens_grupo,B28)</f>
        <v>41000</v>
      </c>
    </row>
    <row r="29" customFormat="false" ht="15" hidden="false" customHeight="false" outlineLevel="0" collapsed="false">
      <c r="B29" s="16" t="str">
        <f aca="false">Listas!F8</f>
        <v>Aplicações e investimentos</v>
      </c>
      <c r="C29" s="17" t="n">
        <f aca="false">SUMIFS(bens_anterior,bens_grupo,B29)</f>
        <v>0</v>
      </c>
      <c r="D29" s="17" t="n">
        <f aca="false">SUMIFS(bens_atual,bens_grupo,B29)</f>
        <v>0</v>
      </c>
    </row>
    <row r="30" customFormat="false" ht="15" hidden="false" customHeight="false" outlineLevel="0" collapsed="false">
      <c r="B30" s="16" t="str">
        <f aca="false">Listas!F9</f>
        <v>Depósitos e saldos em conta</v>
      </c>
      <c r="C30" s="17" t="n">
        <f aca="false">SUMIFS(bens_anterior,bens_grupo,B30)</f>
        <v>3200</v>
      </c>
      <c r="D30" s="17" t="n">
        <f aca="false">SUMIFS(bens_atual,bens_grupo,B30)</f>
        <v>5100</v>
      </c>
    </row>
    <row r="31" customFormat="false" ht="15" hidden="false" customHeight="false" outlineLevel="0" collapsed="false">
      <c r="B31" s="16" t="str">
        <f aca="false">Listas!F10</f>
        <v>Participações societárias</v>
      </c>
      <c r="C31" s="17" t="n">
        <f aca="false">SUMIFS(bens_anterior,bens_grupo,B31)</f>
        <v>0</v>
      </c>
      <c r="D31" s="17" t="n">
        <f aca="false">SUMIFS(bens_atual,bens_grupo,B31)</f>
        <v>0</v>
      </c>
    </row>
    <row r="32" customFormat="false" ht="15" hidden="false" customHeight="false" outlineLevel="0" collapsed="false">
      <c r="B32" s="16" t="str">
        <f aca="false">Listas!F11</f>
        <v>Outros bens</v>
      </c>
      <c r="C32" s="17" t="n">
        <f aca="false">SUMIFS(bens_anterior,bens_grupo,B32)</f>
        <v>0</v>
      </c>
      <c r="D32" s="17" t="n">
        <f aca="false">SUMIFS(bens_atual,bens_grupo,B32)</f>
        <v>0</v>
      </c>
    </row>
    <row r="33" customFormat="false" ht="15" hidden="false" customHeight="false" outlineLevel="0" collapsed="false">
      <c r="B33" s="18" t="s">
        <v>27</v>
      </c>
      <c r="C33" s="19" t="n">
        <f aca="false">SUM(C27:C32)</f>
        <v>328200</v>
      </c>
      <c r="D33" s="19" t="n">
        <f aca="false">SUM(D27:D32)</f>
        <v>326100</v>
      </c>
    </row>
    <row r="35" customFormat="false" ht="19.5" hidden="false" customHeight="true" outlineLevel="0" collapsed="false">
      <c r="B35" s="5" t="s">
        <v>36</v>
      </c>
      <c r="C35" s="5"/>
      <c r="D35" s="5"/>
    </row>
    <row r="36" customFormat="false" ht="30" hidden="false" customHeight="true" outlineLevel="0" collapsed="false">
      <c r="B36" s="15" t="s">
        <v>37</v>
      </c>
      <c r="C36" s="15" t="s">
        <v>38</v>
      </c>
    </row>
    <row r="37" customFormat="false" ht="15" hidden="false" customHeight="false" outlineLevel="0" collapsed="false">
      <c r="B37" s="16" t="s">
        <v>39</v>
      </c>
      <c r="C37" s="22" t="n">
        <f aca="false">COUNTIF(rend_situacao,"Pendente")</f>
        <v>1</v>
      </c>
    </row>
    <row r="38" customFormat="false" ht="15" hidden="false" customHeight="false" outlineLevel="0" collapsed="false">
      <c r="B38" s="16" t="s">
        <v>40</v>
      </c>
      <c r="C38" s="22" t="n">
        <f aca="false">COUNTIF(desp_situacao,"Pendente")</f>
        <v>1</v>
      </c>
    </row>
    <row r="39" customFormat="false" ht="15" hidden="false" customHeight="false" outlineLevel="0" collapsed="false">
      <c r="B39" s="16" t="s">
        <v>41</v>
      </c>
      <c r="C39" s="22" t="n">
        <f aca="false">COUNTIF(bens_situacao,"Pendente")</f>
        <v>1</v>
      </c>
    </row>
    <row r="40" customFormat="false" ht="15" hidden="false" customHeight="false" outlineLevel="0" collapsed="false">
      <c r="B40" s="16" t="s">
        <v>42</v>
      </c>
      <c r="C40" s="22" t="n">
        <f aca="false">COUNTA(check_docs)-COUNTIF(check_status,"Conferido")</f>
        <v>10</v>
      </c>
    </row>
    <row r="41" customFormat="false" ht="15" hidden="false" customHeight="false" outlineLevel="0" collapsed="false">
      <c r="B41" s="16" t="s">
        <v>43</v>
      </c>
      <c r="C41" s="23" t="n">
        <f aca="false">IF(COUNTA(check_docs)=0,0,COUNTIF(check_status,"Conferido")/COUNTA(check_docs))</f>
        <v>0</v>
      </c>
    </row>
    <row r="42" customFormat="false" ht="15" hidden="false" customHeight="false" outlineLevel="0" collapsed="false">
      <c r="B42" s="18" t="s">
        <v>44</v>
      </c>
      <c r="C42" s="24" t="str">
        <f aca="false">IF(SUM(C37:C40)=0,"Tudo conferido","Há pendências")</f>
        <v>Há pendências</v>
      </c>
    </row>
  </sheetData>
  <mergeCells count="5">
    <mergeCell ref="B1:D3"/>
    <mergeCell ref="B6:D6"/>
    <mergeCell ref="B16:D16"/>
    <mergeCell ref="B25:D25"/>
    <mergeCell ref="B35:D35"/>
  </mergeCells>
  <conditionalFormatting sqref="C42">
    <cfRule type="cellIs" priority="2" operator="equal" aboveAverage="0" equalAverage="0" bottom="0" percent="0" rank="0" text="" dxfId="0">
      <formula>"Há pendências"</formula>
    </cfRule>
    <cfRule type="cellIs" priority="3" operator="equal" aboveAverage="0" equalAverage="0" bottom="0" percent="0" rank="0" text="" dxfId="1">
      <formula>"Tudo conferido"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I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5" hidden="false" customHeight="false" outlineLevel="0" collapsed="false">
      <c r="B1" s="1" t="s">
        <v>45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B4" s="12" t="str">
        <f aca="false">HYPERLINK("#'Menu'!A1","« Voltar ao Menu")</f>
        <v>« Voltar ao Menu</v>
      </c>
      <c r="D4" s="25" t="s">
        <v>46</v>
      </c>
    </row>
    <row r="5" customFormat="false" ht="30" hidden="false" customHeight="true" outlineLevel="0" collapsed="false">
      <c r="B5" s="15" t="s">
        <v>47</v>
      </c>
      <c r="C5" s="15" t="s">
        <v>48</v>
      </c>
      <c r="D5" s="15" t="s">
        <v>49</v>
      </c>
      <c r="E5" s="15" t="s">
        <v>50</v>
      </c>
      <c r="F5" s="15" t="s">
        <v>25</v>
      </c>
      <c r="G5" s="15" t="s">
        <v>26</v>
      </c>
      <c r="H5" s="15" t="s">
        <v>51</v>
      </c>
      <c r="I5" s="15" t="s">
        <v>52</v>
      </c>
    </row>
    <row r="6" customFormat="false" ht="15" hidden="false" customHeight="false" outlineLevel="0" collapsed="false">
      <c r="B6" s="26" t="n">
        <v>46361</v>
      </c>
      <c r="C6" s="27" t="s">
        <v>53</v>
      </c>
      <c r="D6" s="28" t="s">
        <v>54</v>
      </c>
      <c r="E6" s="27" t="s">
        <v>55</v>
      </c>
      <c r="F6" s="29" t="n">
        <v>6500</v>
      </c>
      <c r="G6" s="29" t="n">
        <v>820.5</v>
      </c>
      <c r="H6" s="27" t="s">
        <v>56</v>
      </c>
      <c r="I6" s="30" t="str">
        <f aca="false">IF(COUNTA(B6:H6)=0,"",IF(OR(E6="",F6="",H6&lt;&gt;"Sim"),"Pendente","OK"))</f>
        <v>OK</v>
      </c>
    </row>
    <row r="7" customFormat="false" ht="15" hidden="false" customHeight="false" outlineLevel="0" collapsed="false">
      <c r="B7" s="26" t="n">
        <v>46203</v>
      </c>
      <c r="C7" s="27" t="s">
        <v>57</v>
      </c>
      <c r="D7" s="28" t="s">
        <v>58</v>
      </c>
      <c r="E7" s="27" t="s">
        <v>59</v>
      </c>
      <c r="F7" s="29" t="n">
        <v>1240.3</v>
      </c>
      <c r="G7" s="29" t="n">
        <v>186.05</v>
      </c>
      <c r="H7" s="27" t="s">
        <v>56</v>
      </c>
      <c r="I7" s="30" t="str">
        <f aca="false">IF(COUNTA(B7:H7)=0,"",IF(OR(E7="",F7="",H7&lt;&gt;"Sim"),"Pendente","OK"))</f>
        <v>OK</v>
      </c>
    </row>
    <row r="8" customFormat="false" ht="15" hidden="false" customHeight="false" outlineLevel="0" collapsed="false">
      <c r="B8" s="26" t="n">
        <v>46244</v>
      </c>
      <c r="C8" s="27" t="s">
        <v>60</v>
      </c>
      <c r="D8" s="28" t="s">
        <v>61</v>
      </c>
      <c r="E8" s="27" t="s">
        <v>62</v>
      </c>
      <c r="F8" s="29" t="n">
        <v>2800</v>
      </c>
      <c r="G8" s="29" t="n">
        <v>0</v>
      </c>
      <c r="H8" s="27" t="s">
        <v>63</v>
      </c>
      <c r="I8" s="30" t="str">
        <f aca="false">IF(COUNTA(B8:H8)=0,"",IF(OR(E8="",F8="",H8&lt;&gt;"Sim"),"Pendente","OK"))</f>
        <v>Pendente</v>
      </c>
    </row>
    <row r="9" customFormat="false" ht="15" hidden="false" customHeight="false" outlineLevel="0" collapsed="false">
      <c r="B9" s="26"/>
      <c r="C9" s="27"/>
      <c r="D9" s="28"/>
      <c r="E9" s="27"/>
      <c r="F9" s="29"/>
      <c r="G9" s="29"/>
      <c r="H9" s="27"/>
      <c r="I9" s="30" t="str">
        <f aca="false">IF(COUNTA(B9:H9)=0,"",IF(OR(E9="",F9="",H9&lt;&gt;"Sim"),"Pendente","OK"))</f>
        <v/>
      </c>
    </row>
    <row r="10" customFormat="false" ht="15" hidden="false" customHeight="false" outlineLevel="0" collapsed="false">
      <c r="B10" s="26"/>
      <c r="C10" s="27"/>
      <c r="D10" s="28"/>
      <c r="E10" s="27"/>
      <c r="F10" s="29"/>
      <c r="G10" s="29"/>
      <c r="H10" s="27"/>
      <c r="I10" s="30" t="str">
        <f aca="false">IF(COUNTA(B10:H10)=0,"",IF(OR(E10="",F10="",H10&lt;&gt;"Sim"),"Pendente","OK"))</f>
        <v/>
      </c>
    </row>
    <row r="11" customFormat="false" ht="15" hidden="false" customHeight="false" outlineLevel="0" collapsed="false">
      <c r="B11" s="26"/>
      <c r="C11" s="27"/>
      <c r="D11" s="28"/>
      <c r="E11" s="27"/>
      <c r="F11" s="29"/>
      <c r="G11" s="29"/>
      <c r="H11" s="27"/>
      <c r="I11" s="30" t="str">
        <f aca="false">IF(COUNTA(B11:H11)=0,"",IF(OR(E11="",F11="",H11&lt;&gt;"Sim"),"Pendente","OK"))</f>
        <v/>
      </c>
    </row>
    <row r="12" customFormat="false" ht="15" hidden="false" customHeight="false" outlineLevel="0" collapsed="false">
      <c r="B12" s="26"/>
      <c r="C12" s="27"/>
      <c r="D12" s="28"/>
      <c r="E12" s="27"/>
      <c r="F12" s="29"/>
      <c r="G12" s="29"/>
      <c r="H12" s="27"/>
      <c r="I12" s="30" t="str">
        <f aca="false">IF(COUNTA(B12:H12)=0,"",IF(OR(E12="",F12="",H12&lt;&gt;"Sim"),"Pendente","OK"))</f>
        <v/>
      </c>
    </row>
    <row r="13" customFormat="false" ht="15" hidden="false" customHeight="false" outlineLevel="0" collapsed="false">
      <c r="B13" s="26"/>
      <c r="C13" s="27"/>
      <c r="D13" s="28"/>
      <c r="E13" s="27"/>
      <c r="F13" s="29"/>
      <c r="G13" s="29"/>
      <c r="H13" s="27"/>
      <c r="I13" s="30" t="str">
        <f aca="false">IF(COUNTA(B13:H13)=0,"",IF(OR(E13="",F13="",H13&lt;&gt;"Sim"),"Pendente","OK"))</f>
        <v/>
      </c>
    </row>
    <row r="14" customFormat="false" ht="15" hidden="false" customHeight="false" outlineLevel="0" collapsed="false">
      <c r="B14" s="26"/>
      <c r="C14" s="27"/>
      <c r="D14" s="28"/>
      <c r="E14" s="27"/>
      <c r="F14" s="29"/>
      <c r="G14" s="29"/>
      <c r="H14" s="27"/>
      <c r="I14" s="30" t="str">
        <f aca="false">IF(COUNTA(B14:H14)=0,"",IF(OR(E14="",F14="",H14&lt;&gt;"Sim"),"Pendente","OK"))</f>
        <v/>
      </c>
    </row>
    <row r="15" customFormat="false" ht="15" hidden="false" customHeight="false" outlineLevel="0" collapsed="false">
      <c r="B15" s="26"/>
      <c r="C15" s="27"/>
      <c r="D15" s="28"/>
      <c r="E15" s="27"/>
      <c r="F15" s="29"/>
      <c r="G15" s="29"/>
      <c r="H15" s="27"/>
      <c r="I15" s="30" t="str">
        <f aca="false">IF(COUNTA(B15:H15)=0,"",IF(OR(E15="",F15="",H15&lt;&gt;"Sim"),"Pendente","OK"))</f>
        <v/>
      </c>
    </row>
    <row r="16" customFormat="false" ht="15" hidden="false" customHeight="false" outlineLevel="0" collapsed="false">
      <c r="B16" s="26"/>
      <c r="C16" s="27"/>
      <c r="D16" s="28"/>
      <c r="E16" s="27"/>
      <c r="F16" s="29"/>
      <c r="G16" s="29"/>
      <c r="H16" s="27"/>
      <c r="I16" s="30" t="str">
        <f aca="false">IF(COUNTA(B16:H16)=0,"",IF(OR(E16="",F16="",H16&lt;&gt;"Sim"),"Pendente","OK"))</f>
        <v/>
      </c>
    </row>
    <row r="17" customFormat="false" ht="15" hidden="false" customHeight="false" outlineLevel="0" collapsed="false">
      <c r="B17" s="26"/>
      <c r="C17" s="27"/>
      <c r="D17" s="28"/>
      <c r="E17" s="27"/>
      <c r="F17" s="29"/>
      <c r="G17" s="29"/>
      <c r="H17" s="27"/>
      <c r="I17" s="30" t="str">
        <f aca="false">IF(COUNTA(B17:H17)=0,"",IF(OR(E17="",F17="",H17&lt;&gt;"Sim"),"Pendente","OK"))</f>
        <v/>
      </c>
    </row>
    <row r="18" customFormat="false" ht="15" hidden="false" customHeight="false" outlineLevel="0" collapsed="false">
      <c r="B18" s="26"/>
      <c r="C18" s="27"/>
      <c r="D18" s="28"/>
      <c r="E18" s="27"/>
      <c r="F18" s="29"/>
      <c r="G18" s="29"/>
      <c r="H18" s="27"/>
      <c r="I18" s="30" t="str">
        <f aca="false">IF(COUNTA(B18:H18)=0,"",IF(OR(E18="",F18="",H18&lt;&gt;"Sim"),"Pendente","OK"))</f>
        <v/>
      </c>
    </row>
    <row r="19" customFormat="false" ht="15" hidden="false" customHeight="false" outlineLevel="0" collapsed="false">
      <c r="B19" s="26"/>
      <c r="C19" s="27"/>
      <c r="D19" s="28"/>
      <c r="E19" s="27"/>
      <c r="F19" s="29"/>
      <c r="G19" s="29"/>
      <c r="H19" s="27"/>
      <c r="I19" s="30" t="str">
        <f aca="false">IF(COUNTA(B19:H19)=0,"",IF(OR(E19="",F19="",H19&lt;&gt;"Sim"),"Pendente","OK"))</f>
        <v/>
      </c>
    </row>
    <row r="20" customFormat="false" ht="15" hidden="false" customHeight="false" outlineLevel="0" collapsed="false">
      <c r="B20" s="26"/>
      <c r="C20" s="27"/>
      <c r="D20" s="28"/>
      <c r="E20" s="27"/>
      <c r="F20" s="29"/>
      <c r="G20" s="29"/>
      <c r="H20" s="27"/>
      <c r="I20" s="30" t="str">
        <f aca="false">IF(COUNTA(B20:H20)=0,"",IF(OR(E20="",F20="",H20&lt;&gt;"Sim"),"Pendente","OK"))</f>
        <v/>
      </c>
    </row>
    <row r="21" customFormat="false" ht="15" hidden="false" customHeight="false" outlineLevel="0" collapsed="false">
      <c r="B21" s="26"/>
      <c r="C21" s="27"/>
      <c r="D21" s="28"/>
      <c r="E21" s="27"/>
      <c r="F21" s="29"/>
      <c r="G21" s="29"/>
      <c r="H21" s="27"/>
      <c r="I21" s="30" t="str">
        <f aca="false">IF(COUNTA(B21:H21)=0,"",IF(OR(E21="",F21="",H21&lt;&gt;"Sim"),"Pendente","OK"))</f>
        <v/>
      </c>
    </row>
    <row r="22" customFormat="false" ht="15" hidden="false" customHeight="false" outlineLevel="0" collapsed="false">
      <c r="B22" s="26"/>
      <c r="C22" s="27"/>
      <c r="D22" s="28"/>
      <c r="E22" s="27"/>
      <c r="F22" s="29"/>
      <c r="G22" s="29"/>
      <c r="H22" s="27"/>
      <c r="I22" s="30" t="str">
        <f aca="false">IF(COUNTA(B22:H22)=0,"",IF(OR(E22="",F22="",H22&lt;&gt;"Sim"),"Pendente","OK"))</f>
        <v/>
      </c>
    </row>
    <row r="23" customFormat="false" ht="15" hidden="false" customHeight="false" outlineLevel="0" collapsed="false">
      <c r="B23" s="26"/>
      <c r="C23" s="27"/>
      <c r="D23" s="28"/>
      <c r="E23" s="27"/>
      <c r="F23" s="29"/>
      <c r="G23" s="29"/>
      <c r="H23" s="27"/>
      <c r="I23" s="30" t="str">
        <f aca="false">IF(COUNTA(B23:H23)=0,"",IF(OR(E23="",F23="",H23&lt;&gt;"Sim"),"Pendente","OK"))</f>
        <v/>
      </c>
    </row>
    <row r="24" customFormat="false" ht="15" hidden="false" customHeight="false" outlineLevel="0" collapsed="false">
      <c r="B24" s="26"/>
      <c r="C24" s="27"/>
      <c r="D24" s="28"/>
      <c r="E24" s="27"/>
      <c r="F24" s="29"/>
      <c r="G24" s="29"/>
      <c r="H24" s="27"/>
      <c r="I24" s="30" t="str">
        <f aca="false">IF(COUNTA(B24:H24)=0,"",IF(OR(E24="",F24="",H24&lt;&gt;"Sim"),"Pendente","OK"))</f>
        <v/>
      </c>
    </row>
    <row r="25" customFormat="false" ht="15" hidden="false" customHeight="false" outlineLevel="0" collapsed="false">
      <c r="B25" s="26"/>
      <c r="C25" s="27"/>
      <c r="D25" s="28"/>
      <c r="E25" s="27"/>
      <c r="F25" s="29"/>
      <c r="G25" s="29"/>
      <c r="H25" s="27"/>
      <c r="I25" s="30" t="str">
        <f aca="false">IF(COUNTA(B25:H25)=0,"",IF(OR(E25="",F25="",H25&lt;&gt;"Sim"),"Pendente","OK"))</f>
        <v/>
      </c>
    </row>
    <row r="26" customFormat="false" ht="15" hidden="false" customHeight="false" outlineLevel="0" collapsed="false">
      <c r="B26" s="26"/>
      <c r="C26" s="27"/>
      <c r="D26" s="28"/>
      <c r="E26" s="27"/>
      <c r="F26" s="29"/>
      <c r="G26" s="29"/>
      <c r="H26" s="27"/>
      <c r="I26" s="30" t="str">
        <f aca="false">IF(COUNTA(B26:H26)=0,"",IF(OR(E26="",F26="",H26&lt;&gt;"Sim"),"Pendente","OK"))</f>
        <v/>
      </c>
    </row>
    <row r="27" customFormat="false" ht="15" hidden="false" customHeight="false" outlineLevel="0" collapsed="false">
      <c r="B27" s="26"/>
      <c r="C27" s="27"/>
      <c r="D27" s="28"/>
      <c r="E27" s="27"/>
      <c r="F27" s="29"/>
      <c r="G27" s="29"/>
      <c r="H27" s="27"/>
      <c r="I27" s="30" t="str">
        <f aca="false">IF(COUNTA(B27:H27)=0,"",IF(OR(E27="",F27="",H27&lt;&gt;"Sim"),"Pendente","OK"))</f>
        <v/>
      </c>
    </row>
    <row r="28" customFormat="false" ht="15" hidden="false" customHeight="false" outlineLevel="0" collapsed="false">
      <c r="B28" s="26"/>
      <c r="C28" s="27"/>
      <c r="D28" s="28"/>
      <c r="E28" s="27"/>
      <c r="F28" s="29"/>
      <c r="G28" s="29"/>
      <c r="H28" s="27"/>
      <c r="I28" s="30" t="str">
        <f aca="false">IF(COUNTA(B28:H28)=0,"",IF(OR(E28="",F28="",H28&lt;&gt;"Sim"),"Pendente","OK"))</f>
        <v/>
      </c>
    </row>
    <row r="29" customFormat="false" ht="15" hidden="false" customHeight="false" outlineLevel="0" collapsed="false">
      <c r="B29" s="26"/>
      <c r="C29" s="27"/>
      <c r="D29" s="28"/>
      <c r="E29" s="27"/>
      <c r="F29" s="29"/>
      <c r="G29" s="29"/>
      <c r="H29" s="27"/>
      <c r="I29" s="30" t="str">
        <f aca="false">IF(COUNTA(B29:H29)=0,"",IF(OR(E29="",F29="",H29&lt;&gt;"Sim"),"Pendente","OK"))</f>
        <v/>
      </c>
    </row>
    <row r="30" customFormat="false" ht="15" hidden="false" customHeight="false" outlineLevel="0" collapsed="false">
      <c r="B30" s="26"/>
      <c r="C30" s="27"/>
      <c r="D30" s="28"/>
      <c r="E30" s="27"/>
      <c r="F30" s="29"/>
      <c r="G30" s="29"/>
      <c r="H30" s="27"/>
      <c r="I30" s="30" t="str">
        <f aca="false">IF(COUNTA(B30:H30)=0,"",IF(OR(E30="",F30="",H30&lt;&gt;"Sim"),"Pendente","OK"))</f>
        <v/>
      </c>
    </row>
    <row r="31" customFormat="false" ht="15" hidden="false" customHeight="false" outlineLevel="0" collapsed="false">
      <c r="B31" s="26"/>
      <c r="C31" s="27"/>
      <c r="D31" s="28"/>
      <c r="E31" s="27"/>
      <c r="F31" s="29"/>
      <c r="G31" s="29"/>
      <c r="H31" s="27"/>
      <c r="I31" s="30" t="str">
        <f aca="false">IF(COUNTA(B31:H31)=0,"",IF(OR(E31="",F31="",H31&lt;&gt;"Sim"),"Pendente","OK"))</f>
        <v/>
      </c>
    </row>
    <row r="32" customFormat="false" ht="15" hidden="false" customHeight="false" outlineLevel="0" collapsed="false">
      <c r="B32" s="26"/>
      <c r="C32" s="27"/>
      <c r="D32" s="28"/>
      <c r="E32" s="27"/>
      <c r="F32" s="29"/>
      <c r="G32" s="29"/>
      <c r="H32" s="27"/>
      <c r="I32" s="30" t="str">
        <f aca="false">IF(COUNTA(B32:H32)=0,"",IF(OR(E32="",F32="",H32&lt;&gt;"Sim"),"Pendente","OK"))</f>
        <v/>
      </c>
    </row>
    <row r="33" customFormat="false" ht="15" hidden="false" customHeight="false" outlineLevel="0" collapsed="false">
      <c r="B33" s="26"/>
      <c r="C33" s="27"/>
      <c r="D33" s="28"/>
      <c r="E33" s="27"/>
      <c r="F33" s="29"/>
      <c r="G33" s="29"/>
      <c r="H33" s="27"/>
      <c r="I33" s="30" t="str">
        <f aca="false">IF(COUNTA(B33:H33)=0,"",IF(OR(E33="",F33="",H33&lt;&gt;"Sim"),"Pendente","OK"))</f>
        <v/>
      </c>
    </row>
    <row r="34" customFormat="false" ht="15" hidden="false" customHeight="false" outlineLevel="0" collapsed="false">
      <c r="B34" s="26"/>
      <c r="C34" s="27"/>
      <c r="D34" s="28"/>
      <c r="E34" s="27"/>
      <c r="F34" s="29"/>
      <c r="G34" s="29"/>
      <c r="H34" s="27"/>
      <c r="I34" s="30" t="str">
        <f aca="false">IF(COUNTA(B34:H34)=0,"",IF(OR(E34="",F34="",H34&lt;&gt;"Sim"),"Pendente","OK"))</f>
        <v/>
      </c>
    </row>
    <row r="35" customFormat="false" ht="15" hidden="false" customHeight="false" outlineLevel="0" collapsed="false">
      <c r="B35" s="26"/>
      <c r="C35" s="27"/>
      <c r="D35" s="28"/>
      <c r="E35" s="27"/>
      <c r="F35" s="29"/>
      <c r="G35" s="29"/>
      <c r="H35" s="27"/>
      <c r="I35" s="30" t="str">
        <f aca="false">IF(COUNTA(B35:H35)=0,"",IF(OR(E35="",F35="",H35&lt;&gt;"Sim"),"Pendente","OK"))</f>
        <v/>
      </c>
    </row>
    <row r="36" customFormat="false" ht="15" hidden="false" customHeight="false" outlineLevel="0" collapsed="false">
      <c r="B36" s="26"/>
      <c r="C36" s="27"/>
      <c r="D36" s="28"/>
      <c r="E36" s="27"/>
      <c r="F36" s="29"/>
      <c r="G36" s="29"/>
      <c r="H36" s="27"/>
      <c r="I36" s="30" t="str">
        <f aca="false">IF(COUNTA(B36:H36)=0,"",IF(OR(E36="",F36="",H36&lt;&gt;"Sim"),"Pendente","OK"))</f>
        <v/>
      </c>
    </row>
    <row r="37" customFormat="false" ht="15" hidden="false" customHeight="false" outlineLevel="0" collapsed="false">
      <c r="B37" s="26"/>
      <c r="C37" s="27"/>
      <c r="D37" s="28"/>
      <c r="E37" s="27"/>
      <c r="F37" s="29"/>
      <c r="G37" s="29"/>
      <c r="H37" s="27"/>
      <c r="I37" s="30" t="str">
        <f aca="false">IF(COUNTA(B37:H37)=0,"",IF(OR(E37="",F37="",H37&lt;&gt;"Sim"),"Pendente","OK"))</f>
        <v/>
      </c>
    </row>
    <row r="38" customFormat="false" ht="15" hidden="false" customHeight="false" outlineLevel="0" collapsed="false">
      <c r="B38" s="26"/>
      <c r="C38" s="27"/>
      <c r="D38" s="28"/>
      <c r="E38" s="27"/>
      <c r="F38" s="29"/>
      <c r="G38" s="29"/>
      <c r="H38" s="27"/>
      <c r="I38" s="30" t="str">
        <f aca="false">IF(COUNTA(B38:H38)=0,"",IF(OR(E38="",F38="",H38&lt;&gt;"Sim"),"Pendente","OK"))</f>
        <v/>
      </c>
    </row>
    <row r="39" customFormat="false" ht="15" hidden="false" customHeight="false" outlineLevel="0" collapsed="false">
      <c r="B39" s="26"/>
      <c r="C39" s="27"/>
      <c r="D39" s="28"/>
      <c r="E39" s="27"/>
      <c r="F39" s="29"/>
      <c r="G39" s="29"/>
      <c r="H39" s="27"/>
      <c r="I39" s="30" t="str">
        <f aca="false">IF(COUNTA(B39:H39)=0,"",IF(OR(E39="",F39="",H39&lt;&gt;"Sim"),"Pendente","OK"))</f>
        <v/>
      </c>
    </row>
    <row r="40" customFormat="false" ht="15" hidden="false" customHeight="false" outlineLevel="0" collapsed="false">
      <c r="B40" s="26"/>
      <c r="C40" s="27"/>
      <c r="D40" s="28"/>
      <c r="E40" s="27"/>
      <c r="F40" s="29"/>
      <c r="G40" s="29"/>
      <c r="H40" s="27"/>
      <c r="I40" s="30" t="str">
        <f aca="false">IF(COUNTA(B40:H40)=0,"",IF(OR(E40="",F40="",H40&lt;&gt;"Sim"),"Pendente","OK"))</f>
        <v/>
      </c>
    </row>
    <row r="41" customFormat="false" ht="15" hidden="false" customHeight="false" outlineLevel="0" collapsed="false">
      <c r="B41" s="26"/>
      <c r="C41" s="27"/>
      <c r="D41" s="28"/>
      <c r="E41" s="27"/>
      <c r="F41" s="29"/>
      <c r="G41" s="29"/>
      <c r="H41" s="27"/>
      <c r="I41" s="30" t="str">
        <f aca="false">IF(COUNTA(B41:H41)=0,"",IF(OR(E41="",F41="",H41&lt;&gt;"Sim"),"Pendente","OK"))</f>
        <v/>
      </c>
    </row>
    <row r="42" customFormat="false" ht="15" hidden="false" customHeight="false" outlineLevel="0" collapsed="false">
      <c r="B42" s="26"/>
      <c r="C42" s="27"/>
      <c r="D42" s="28"/>
      <c r="E42" s="27"/>
      <c r="F42" s="29"/>
      <c r="G42" s="29"/>
      <c r="H42" s="27"/>
      <c r="I42" s="30" t="str">
        <f aca="false">IF(COUNTA(B42:H42)=0,"",IF(OR(E42="",F42="",H42&lt;&gt;"Sim"),"Pendente","OK"))</f>
        <v/>
      </c>
    </row>
    <row r="43" customFormat="false" ht="15" hidden="false" customHeight="false" outlineLevel="0" collapsed="false">
      <c r="B43" s="26"/>
      <c r="C43" s="27"/>
      <c r="D43" s="28"/>
      <c r="E43" s="27"/>
      <c r="F43" s="29"/>
      <c r="G43" s="29"/>
      <c r="H43" s="27"/>
      <c r="I43" s="30" t="str">
        <f aca="false">IF(COUNTA(B43:H43)=0,"",IF(OR(E43="",F43="",H43&lt;&gt;"Sim"),"Pendente","OK"))</f>
        <v/>
      </c>
    </row>
    <row r="44" customFormat="false" ht="15" hidden="false" customHeight="false" outlineLevel="0" collapsed="false">
      <c r="B44" s="26"/>
      <c r="C44" s="27"/>
      <c r="D44" s="28"/>
      <c r="E44" s="27"/>
      <c r="F44" s="29"/>
      <c r="G44" s="29"/>
      <c r="H44" s="27"/>
      <c r="I44" s="30" t="str">
        <f aca="false">IF(COUNTA(B44:H44)=0,"",IF(OR(E44="",F44="",H44&lt;&gt;"Sim"),"Pendente","OK"))</f>
        <v/>
      </c>
    </row>
    <row r="45" customFormat="false" ht="15" hidden="false" customHeight="false" outlineLevel="0" collapsed="false">
      <c r="B45" s="26"/>
      <c r="C45" s="27"/>
      <c r="D45" s="28"/>
      <c r="E45" s="27"/>
      <c r="F45" s="29"/>
      <c r="G45" s="29"/>
      <c r="H45" s="27"/>
      <c r="I45" s="30" t="str">
        <f aca="false">IF(COUNTA(B45:H45)=0,"",IF(OR(E45="",F45="",H45&lt;&gt;"Sim"),"Pendente","OK"))</f>
        <v/>
      </c>
    </row>
    <row r="46" customFormat="false" ht="15" hidden="false" customHeight="false" outlineLevel="0" collapsed="false">
      <c r="B46" s="26"/>
      <c r="C46" s="27"/>
      <c r="D46" s="28"/>
      <c r="E46" s="27"/>
      <c r="F46" s="29"/>
      <c r="G46" s="29"/>
      <c r="H46" s="27"/>
      <c r="I46" s="30" t="str">
        <f aca="false">IF(COUNTA(B46:H46)=0,"",IF(OR(E46="",F46="",H46&lt;&gt;"Sim"),"Pendente","OK"))</f>
        <v/>
      </c>
    </row>
    <row r="47" customFormat="false" ht="15" hidden="false" customHeight="false" outlineLevel="0" collapsed="false">
      <c r="B47" s="26"/>
      <c r="C47" s="27"/>
      <c r="D47" s="28"/>
      <c r="E47" s="27"/>
      <c r="F47" s="29"/>
      <c r="G47" s="29"/>
      <c r="H47" s="27"/>
      <c r="I47" s="30" t="str">
        <f aca="false">IF(COUNTA(B47:H47)=0,"",IF(OR(E47="",F47="",H47&lt;&gt;"Sim"),"Pendente","OK"))</f>
        <v/>
      </c>
    </row>
    <row r="48" customFormat="false" ht="15" hidden="false" customHeight="false" outlineLevel="0" collapsed="false">
      <c r="B48" s="26"/>
      <c r="C48" s="27"/>
      <c r="D48" s="28"/>
      <c r="E48" s="27"/>
      <c r="F48" s="29"/>
      <c r="G48" s="29"/>
      <c r="H48" s="27"/>
      <c r="I48" s="30" t="str">
        <f aca="false">IF(COUNTA(B48:H48)=0,"",IF(OR(E48="",F48="",H48&lt;&gt;"Sim"),"Pendente","OK"))</f>
        <v/>
      </c>
    </row>
    <row r="49" customFormat="false" ht="15" hidden="false" customHeight="false" outlineLevel="0" collapsed="false">
      <c r="B49" s="26"/>
      <c r="C49" s="27"/>
      <c r="D49" s="28"/>
      <c r="E49" s="27"/>
      <c r="F49" s="29"/>
      <c r="G49" s="29"/>
      <c r="H49" s="27"/>
      <c r="I49" s="30" t="str">
        <f aca="false">IF(COUNTA(B49:H49)=0,"",IF(OR(E49="",F49="",H49&lt;&gt;"Sim"),"Pendente","OK"))</f>
        <v/>
      </c>
    </row>
    <row r="50" customFormat="false" ht="15" hidden="false" customHeight="false" outlineLevel="0" collapsed="false">
      <c r="B50" s="26"/>
      <c r="C50" s="27"/>
      <c r="D50" s="28"/>
      <c r="E50" s="27"/>
      <c r="F50" s="29"/>
      <c r="G50" s="29"/>
      <c r="H50" s="27"/>
      <c r="I50" s="30" t="str">
        <f aca="false">IF(COUNTA(B50:H50)=0,"",IF(OR(E50="",F50="",H50&lt;&gt;"Sim"),"Pendente","OK"))</f>
        <v/>
      </c>
    </row>
    <row r="51" customFormat="false" ht="15" hidden="false" customHeight="false" outlineLevel="0" collapsed="false">
      <c r="B51" s="26"/>
      <c r="C51" s="27"/>
      <c r="D51" s="28"/>
      <c r="E51" s="27"/>
      <c r="F51" s="29"/>
      <c r="G51" s="29"/>
      <c r="H51" s="27"/>
      <c r="I51" s="30" t="str">
        <f aca="false">IF(COUNTA(B51:H51)=0,"",IF(OR(E51="",F51="",H51&lt;&gt;"Sim"),"Pendente","OK"))</f>
        <v/>
      </c>
    </row>
    <row r="52" customFormat="false" ht="15" hidden="false" customHeight="false" outlineLevel="0" collapsed="false">
      <c r="B52" s="26"/>
      <c r="C52" s="27"/>
      <c r="D52" s="28"/>
      <c r="E52" s="27"/>
      <c r="F52" s="29"/>
      <c r="G52" s="29"/>
      <c r="H52" s="27"/>
      <c r="I52" s="30" t="str">
        <f aca="false">IF(COUNTA(B52:H52)=0,"",IF(OR(E52="",F52="",H52&lt;&gt;"Sim"),"Pendente","OK"))</f>
        <v/>
      </c>
    </row>
    <row r="53" customFormat="false" ht="15" hidden="false" customHeight="false" outlineLevel="0" collapsed="false">
      <c r="B53" s="26"/>
      <c r="C53" s="27"/>
      <c r="D53" s="28"/>
      <c r="E53" s="27"/>
      <c r="F53" s="29"/>
      <c r="G53" s="29"/>
      <c r="H53" s="27"/>
      <c r="I53" s="30" t="str">
        <f aca="false">IF(COUNTA(B53:H53)=0,"",IF(OR(E53="",F53="",H53&lt;&gt;"Sim"),"Pendente","OK"))</f>
        <v/>
      </c>
    </row>
    <row r="54" customFormat="false" ht="15" hidden="false" customHeight="false" outlineLevel="0" collapsed="false">
      <c r="B54" s="26"/>
      <c r="C54" s="27"/>
      <c r="D54" s="28"/>
      <c r="E54" s="27"/>
      <c r="F54" s="29"/>
      <c r="G54" s="29"/>
      <c r="H54" s="27"/>
      <c r="I54" s="30" t="str">
        <f aca="false">IF(COUNTA(B54:H54)=0,"",IF(OR(E54="",F54="",H54&lt;&gt;"Sim"),"Pendente","OK"))</f>
        <v/>
      </c>
    </row>
    <row r="55" customFormat="false" ht="15" hidden="false" customHeight="false" outlineLevel="0" collapsed="false">
      <c r="B55" s="26"/>
      <c r="C55" s="27"/>
      <c r="D55" s="28"/>
      <c r="E55" s="27"/>
      <c r="F55" s="29"/>
      <c r="G55" s="29"/>
      <c r="H55" s="27"/>
      <c r="I55" s="30" t="str">
        <f aca="false">IF(COUNTA(B55:H55)=0,"",IF(OR(E55="",F55="",H55&lt;&gt;"Sim"),"Pendente","OK"))</f>
        <v/>
      </c>
    </row>
    <row r="56" customFormat="false" ht="15" hidden="false" customHeight="false" outlineLevel="0" collapsed="false">
      <c r="B56" s="26"/>
      <c r="C56" s="27"/>
      <c r="D56" s="28"/>
      <c r="E56" s="27"/>
      <c r="F56" s="29"/>
      <c r="G56" s="29"/>
      <c r="H56" s="27"/>
      <c r="I56" s="30" t="str">
        <f aca="false">IF(COUNTA(B56:H56)=0,"",IF(OR(E56="",F56="",H56&lt;&gt;"Sim"),"Pendente","OK"))</f>
        <v/>
      </c>
    </row>
    <row r="57" customFormat="false" ht="15" hidden="false" customHeight="false" outlineLevel="0" collapsed="false">
      <c r="B57" s="26"/>
      <c r="C57" s="27"/>
      <c r="D57" s="28"/>
      <c r="E57" s="27"/>
      <c r="F57" s="29"/>
      <c r="G57" s="29"/>
      <c r="H57" s="27"/>
      <c r="I57" s="30" t="str">
        <f aca="false">IF(COUNTA(B57:H57)=0,"",IF(OR(E57="",F57="",H57&lt;&gt;"Sim"),"Pendente","OK"))</f>
        <v/>
      </c>
    </row>
    <row r="58" customFormat="false" ht="15" hidden="false" customHeight="false" outlineLevel="0" collapsed="false">
      <c r="B58" s="26"/>
      <c r="C58" s="27"/>
      <c r="D58" s="28"/>
      <c r="E58" s="27"/>
      <c r="F58" s="29"/>
      <c r="G58" s="29"/>
      <c r="H58" s="27"/>
      <c r="I58" s="30" t="str">
        <f aca="false">IF(COUNTA(B58:H58)=0,"",IF(OR(E58="",F58="",H58&lt;&gt;"Sim"),"Pendente","OK"))</f>
        <v/>
      </c>
    </row>
    <row r="59" customFormat="false" ht="15" hidden="false" customHeight="false" outlineLevel="0" collapsed="false">
      <c r="B59" s="26"/>
      <c r="C59" s="27"/>
      <c r="D59" s="28"/>
      <c r="E59" s="27"/>
      <c r="F59" s="29"/>
      <c r="G59" s="29"/>
      <c r="H59" s="27"/>
      <c r="I59" s="30" t="str">
        <f aca="false">IF(COUNTA(B59:H59)=0,"",IF(OR(E59="",F59="",H59&lt;&gt;"Sim"),"Pendente","OK"))</f>
        <v/>
      </c>
    </row>
    <row r="60" customFormat="false" ht="15" hidden="false" customHeight="false" outlineLevel="0" collapsed="false">
      <c r="B60" s="26"/>
      <c r="C60" s="27"/>
      <c r="D60" s="28"/>
      <c r="E60" s="27"/>
      <c r="F60" s="29"/>
      <c r="G60" s="29"/>
      <c r="H60" s="27"/>
      <c r="I60" s="30" t="str">
        <f aca="false">IF(COUNTA(B60:H60)=0,"",IF(OR(E60="",F60="",H60&lt;&gt;"Sim"),"Pendente","OK"))</f>
        <v/>
      </c>
    </row>
    <row r="61" customFormat="false" ht="15" hidden="false" customHeight="false" outlineLevel="0" collapsed="false">
      <c r="B61" s="26"/>
      <c r="C61" s="27"/>
      <c r="D61" s="28"/>
      <c r="E61" s="27"/>
      <c r="F61" s="29"/>
      <c r="G61" s="29"/>
      <c r="H61" s="27"/>
      <c r="I61" s="30" t="str">
        <f aca="false">IF(COUNTA(B61:H61)=0,"",IF(OR(E61="",F61="",H61&lt;&gt;"Sim"),"Pendente","OK"))</f>
        <v/>
      </c>
    </row>
    <row r="62" customFormat="false" ht="15" hidden="false" customHeight="false" outlineLevel="0" collapsed="false">
      <c r="B62" s="26"/>
      <c r="C62" s="27"/>
      <c r="D62" s="28"/>
      <c r="E62" s="27"/>
      <c r="F62" s="29"/>
      <c r="G62" s="29"/>
      <c r="H62" s="27"/>
      <c r="I62" s="30" t="str">
        <f aca="false">IF(COUNTA(B62:H62)=0,"",IF(OR(E62="",F62="",H62&lt;&gt;"Sim"),"Pendente","OK"))</f>
        <v/>
      </c>
    </row>
    <row r="63" customFormat="false" ht="15" hidden="false" customHeight="false" outlineLevel="0" collapsed="false">
      <c r="B63" s="26"/>
      <c r="C63" s="27"/>
      <c r="D63" s="28"/>
      <c r="E63" s="27"/>
      <c r="F63" s="29"/>
      <c r="G63" s="29"/>
      <c r="H63" s="27"/>
      <c r="I63" s="30" t="str">
        <f aca="false">IF(COUNTA(B63:H63)=0,"",IF(OR(E63="",F63="",H63&lt;&gt;"Sim"),"Pendente","OK"))</f>
        <v/>
      </c>
    </row>
    <row r="64" customFormat="false" ht="15" hidden="false" customHeight="false" outlineLevel="0" collapsed="false">
      <c r="B64" s="26"/>
      <c r="C64" s="27"/>
      <c r="D64" s="28"/>
      <c r="E64" s="27"/>
      <c r="F64" s="29"/>
      <c r="G64" s="29"/>
      <c r="H64" s="27"/>
      <c r="I64" s="30" t="str">
        <f aca="false">IF(COUNTA(B64:H64)=0,"",IF(OR(E64="",F64="",H64&lt;&gt;"Sim"),"Pendente","OK"))</f>
        <v/>
      </c>
    </row>
    <row r="65" customFormat="false" ht="15" hidden="false" customHeight="false" outlineLevel="0" collapsed="false">
      <c r="B65" s="26"/>
      <c r="C65" s="27"/>
      <c r="D65" s="28"/>
      <c r="E65" s="27"/>
      <c r="F65" s="29"/>
      <c r="G65" s="29"/>
      <c r="H65" s="27"/>
      <c r="I65" s="30" t="str">
        <f aca="false">IF(COUNTA(B65:H65)=0,"",IF(OR(E65="",F65="",H65&lt;&gt;"Sim"),"Pendente","OK"))</f>
        <v/>
      </c>
    </row>
    <row r="66" customFormat="false" ht="15" hidden="false" customHeight="false" outlineLevel="0" collapsed="false">
      <c r="B66" s="26"/>
      <c r="C66" s="27"/>
      <c r="D66" s="28"/>
      <c r="E66" s="27"/>
      <c r="F66" s="29"/>
      <c r="G66" s="29"/>
      <c r="H66" s="27"/>
      <c r="I66" s="30" t="str">
        <f aca="false">IF(COUNTA(B66:H66)=0,"",IF(OR(E66="",F66="",H66&lt;&gt;"Sim"),"Pendente","OK"))</f>
        <v/>
      </c>
    </row>
    <row r="67" customFormat="false" ht="15" hidden="false" customHeight="false" outlineLevel="0" collapsed="false">
      <c r="B67" s="26"/>
      <c r="C67" s="27"/>
      <c r="D67" s="28"/>
      <c r="E67" s="27"/>
      <c r="F67" s="29"/>
      <c r="G67" s="29"/>
      <c r="H67" s="27"/>
      <c r="I67" s="30" t="str">
        <f aca="false">IF(COUNTA(B67:H67)=0,"",IF(OR(E67="",F67="",H67&lt;&gt;"Sim"),"Pendente","OK"))</f>
        <v/>
      </c>
    </row>
    <row r="68" customFormat="false" ht="15" hidden="false" customHeight="false" outlineLevel="0" collapsed="false">
      <c r="B68" s="26"/>
      <c r="C68" s="27"/>
      <c r="D68" s="28"/>
      <c r="E68" s="27"/>
      <c r="F68" s="29"/>
      <c r="G68" s="29"/>
      <c r="H68" s="27"/>
      <c r="I68" s="30" t="str">
        <f aca="false">IF(COUNTA(B68:H68)=0,"",IF(OR(E68="",F68="",H68&lt;&gt;"Sim"),"Pendente","OK"))</f>
        <v/>
      </c>
    </row>
    <row r="69" customFormat="false" ht="15" hidden="false" customHeight="false" outlineLevel="0" collapsed="false">
      <c r="B69" s="26"/>
      <c r="C69" s="27"/>
      <c r="D69" s="28"/>
      <c r="E69" s="27"/>
      <c r="F69" s="29"/>
      <c r="G69" s="29"/>
      <c r="H69" s="27"/>
      <c r="I69" s="30" t="str">
        <f aca="false">IF(COUNTA(B69:H69)=0,"",IF(OR(E69="",F69="",H69&lt;&gt;"Sim"),"Pendente","OK"))</f>
        <v/>
      </c>
    </row>
    <row r="70" customFormat="false" ht="15" hidden="false" customHeight="false" outlineLevel="0" collapsed="false">
      <c r="B70" s="26"/>
      <c r="C70" s="27"/>
      <c r="D70" s="28"/>
      <c r="E70" s="27"/>
      <c r="F70" s="29"/>
      <c r="G70" s="29"/>
      <c r="H70" s="27"/>
      <c r="I70" s="30" t="str">
        <f aca="false">IF(COUNTA(B70:H70)=0,"",IF(OR(E70="",F70="",H70&lt;&gt;"Sim"),"Pendente","OK"))</f>
        <v/>
      </c>
    </row>
    <row r="71" customFormat="false" ht="15" hidden="false" customHeight="false" outlineLevel="0" collapsed="false">
      <c r="B71" s="26"/>
      <c r="C71" s="27"/>
      <c r="D71" s="28"/>
      <c r="E71" s="27"/>
      <c r="F71" s="29"/>
      <c r="G71" s="29"/>
      <c r="H71" s="27"/>
      <c r="I71" s="30" t="str">
        <f aca="false">IF(COUNTA(B71:H71)=0,"",IF(OR(E71="",F71="",H71&lt;&gt;"Sim"),"Pendente","OK"))</f>
        <v/>
      </c>
    </row>
    <row r="72" customFormat="false" ht="15" hidden="false" customHeight="false" outlineLevel="0" collapsed="false">
      <c r="B72" s="26"/>
      <c r="C72" s="27"/>
      <c r="D72" s="28"/>
      <c r="E72" s="27"/>
      <c r="F72" s="29"/>
      <c r="G72" s="29"/>
      <c r="H72" s="27"/>
      <c r="I72" s="30" t="str">
        <f aca="false">IF(COUNTA(B72:H72)=0,"",IF(OR(E72="",F72="",H72&lt;&gt;"Sim"),"Pendente","OK"))</f>
        <v/>
      </c>
    </row>
    <row r="73" customFormat="false" ht="15" hidden="false" customHeight="false" outlineLevel="0" collapsed="false">
      <c r="B73" s="26"/>
      <c r="C73" s="27"/>
      <c r="D73" s="28"/>
      <c r="E73" s="27"/>
      <c r="F73" s="29"/>
      <c r="G73" s="29"/>
      <c r="H73" s="27"/>
      <c r="I73" s="30" t="str">
        <f aca="false">IF(COUNTA(B73:H73)=0,"",IF(OR(E73="",F73="",H73&lt;&gt;"Sim"),"Pendente","OK"))</f>
        <v/>
      </c>
    </row>
    <row r="74" customFormat="false" ht="15" hidden="false" customHeight="false" outlineLevel="0" collapsed="false">
      <c r="B74" s="26"/>
      <c r="C74" s="27"/>
      <c r="D74" s="28"/>
      <c r="E74" s="27"/>
      <c r="F74" s="29"/>
      <c r="G74" s="29"/>
      <c r="H74" s="27"/>
      <c r="I74" s="30" t="str">
        <f aca="false">IF(COUNTA(B74:H74)=0,"",IF(OR(E74="",F74="",H74&lt;&gt;"Sim"),"Pendente","OK"))</f>
        <v/>
      </c>
    </row>
    <row r="75" customFormat="false" ht="15" hidden="false" customHeight="false" outlineLevel="0" collapsed="false">
      <c r="B75" s="26"/>
      <c r="C75" s="27"/>
      <c r="D75" s="28"/>
      <c r="E75" s="27"/>
      <c r="F75" s="29"/>
      <c r="G75" s="29"/>
      <c r="H75" s="27"/>
      <c r="I75" s="30" t="str">
        <f aca="false">IF(COUNTA(B75:H75)=0,"",IF(OR(E75="",F75="",H75&lt;&gt;"Sim"),"Pendente","OK"))</f>
        <v/>
      </c>
    </row>
    <row r="76" customFormat="false" ht="15" hidden="false" customHeight="false" outlineLevel="0" collapsed="false">
      <c r="B76" s="26"/>
      <c r="C76" s="27"/>
      <c r="D76" s="28"/>
      <c r="E76" s="27"/>
      <c r="F76" s="29"/>
      <c r="G76" s="29"/>
      <c r="H76" s="27"/>
      <c r="I76" s="30" t="str">
        <f aca="false">IF(COUNTA(B76:H76)=0,"",IF(OR(E76="",F76="",H76&lt;&gt;"Sim"),"Pendente","OK"))</f>
        <v/>
      </c>
    </row>
    <row r="77" customFormat="false" ht="15" hidden="false" customHeight="false" outlineLevel="0" collapsed="false">
      <c r="B77" s="26"/>
      <c r="C77" s="27"/>
      <c r="D77" s="28"/>
      <c r="E77" s="27"/>
      <c r="F77" s="29"/>
      <c r="G77" s="29"/>
      <c r="H77" s="27"/>
      <c r="I77" s="30" t="str">
        <f aca="false">IF(COUNTA(B77:H77)=0,"",IF(OR(E77="",F77="",H77&lt;&gt;"Sim"),"Pendente","OK"))</f>
        <v/>
      </c>
    </row>
    <row r="78" customFormat="false" ht="15" hidden="false" customHeight="false" outlineLevel="0" collapsed="false">
      <c r="B78" s="26"/>
      <c r="C78" s="27"/>
      <c r="D78" s="28"/>
      <c r="E78" s="27"/>
      <c r="F78" s="29"/>
      <c r="G78" s="29"/>
      <c r="H78" s="27"/>
      <c r="I78" s="30" t="str">
        <f aca="false">IF(COUNTA(B78:H78)=0,"",IF(OR(E78="",F78="",H78&lt;&gt;"Sim"),"Pendente","OK"))</f>
        <v/>
      </c>
    </row>
    <row r="79" customFormat="false" ht="15" hidden="false" customHeight="false" outlineLevel="0" collapsed="false">
      <c r="B79" s="26"/>
      <c r="C79" s="27"/>
      <c r="D79" s="28"/>
      <c r="E79" s="27"/>
      <c r="F79" s="29"/>
      <c r="G79" s="29"/>
      <c r="H79" s="27"/>
      <c r="I79" s="30" t="str">
        <f aca="false">IF(COUNTA(B79:H79)=0,"",IF(OR(E79="",F79="",H79&lt;&gt;"Sim"),"Pendente","OK"))</f>
        <v/>
      </c>
    </row>
    <row r="80" customFormat="false" ht="15" hidden="false" customHeight="false" outlineLevel="0" collapsed="false">
      <c r="B80" s="26"/>
      <c r="C80" s="27"/>
      <c r="D80" s="28"/>
      <c r="E80" s="27"/>
      <c r="F80" s="29"/>
      <c r="G80" s="29"/>
      <c r="H80" s="27"/>
      <c r="I80" s="30" t="str">
        <f aca="false">IF(COUNTA(B80:H80)=0,"",IF(OR(E80="",F80="",H80&lt;&gt;"Sim"),"Pendente","OK"))</f>
        <v/>
      </c>
    </row>
    <row r="81" customFormat="false" ht="15" hidden="false" customHeight="false" outlineLevel="0" collapsed="false">
      <c r="B81" s="26"/>
      <c r="C81" s="27"/>
      <c r="D81" s="28"/>
      <c r="E81" s="27"/>
      <c r="F81" s="29"/>
      <c r="G81" s="29"/>
      <c r="H81" s="27"/>
      <c r="I81" s="30" t="str">
        <f aca="false">IF(COUNTA(B81:H81)=0,"",IF(OR(E81="",F81="",H81&lt;&gt;"Sim"),"Pendente","OK"))</f>
        <v/>
      </c>
    </row>
    <row r="82" customFormat="false" ht="15" hidden="false" customHeight="false" outlineLevel="0" collapsed="false">
      <c r="B82" s="26"/>
      <c r="C82" s="27"/>
      <c r="D82" s="28"/>
      <c r="E82" s="27"/>
      <c r="F82" s="29"/>
      <c r="G82" s="29"/>
      <c r="H82" s="27"/>
      <c r="I82" s="30" t="str">
        <f aca="false">IF(COUNTA(B82:H82)=0,"",IF(OR(E82="",F82="",H82&lt;&gt;"Sim"),"Pendente","OK"))</f>
        <v/>
      </c>
    </row>
    <row r="83" customFormat="false" ht="15" hidden="false" customHeight="false" outlineLevel="0" collapsed="false">
      <c r="B83" s="26"/>
      <c r="C83" s="27"/>
      <c r="D83" s="28"/>
      <c r="E83" s="27"/>
      <c r="F83" s="29"/>
      <c r="G83" s="29"/>
      <c r="H83" s="27"/>
      <c r="I83" s="30" t="str">
        <f aca="false">IF(COUNTA(B83:H83)=0,"",IF(OR(E83="",F83="",H83&lt;&gt;"Sim"),"Pendente","OK"))</f>
        <v/>
      </c>
    </row>
    <row r="84" customFormat="false" ht="15" hidden="false" customHeight="false" outlineLevel="0" collapsed="false">
      <c r="B84" s="26"/>
      <c r="C84" s="27"/>
      <c r="D84" s="28"/>
      <c r="E84" s="27"/>
      <c r="F84" s="29"/>
      <c r="G84" s="29"/>
      <c r="H84" s="27"/>
      <c r="I84" s="30" t="str">
        <f aca="false">IF(COUNTA(B84:H84)=0,"",IF(OR(E84="",F84="",H84&lt;&gt;"Sim"),"Pendente","OK"))</f>
        <v/>
      </c>
    </row>
    <row r="85" customFormat="false" ht="15" hidden="false" customHeight="false" outlineLevel="0" collapsed="false">
      <c r="B85" s="26"/>
      <c r="C85" s="27"/>
      <c r="D85" s="28"/>
      <c r="E85" s="27"/>
      <c r="F85" s="29"/>
      <c r="G85" s="29"/>
      <c r="H85" s="27"/>
      <c r="I85" s="30" t="str">
        <f aca="false">IF(COUNTA(B85:H85)=0,"",IF(OR(E85="",F85="",H85&lt;&gt;"Sim"),"Pendente","OK"))</f>
        <v/>
      </c>
    </row>
    <row r="86" customFormat="false" ht="15" hidden="false" customHeight="false" outlineLevel="0" collapsed="false">
      <c r="B86" s="26"/>
      <c r="C86" s="27"/>
      <c r="D86" s="28"/>
      <c r="E86" s="27"/>
      <c r="F86" s="29"/>
      <c r="G86" s="29"/>
      <c r="H86" s="27"/>
      <c r="I86" s="30" t="str">
        <f aca="false">IF(COUNTA(B86:H86)=0,"",IF(OR(E86="",F86="",H86&lt;&gt;"Sim"),"Pendente","OK"))</f>
        <v/>
      </c>
    </row>
    <row r="87" customFormat="false" ht="15" hidden="false" customHeight="false" outlineLevel="0" collapsed="false">
      <c r="B87" s="26"/>
      <c r="C87" s="27"/>
      <c r="D87" s="28"/>
      <c r="E87" s="27"/>
      <c r="F87" s="29"/>
      <c r="G87" s="29"/>
      <c r="H87" s="27"/>
      <c r="I87" s="30" t="str">
        <f aca="false">IF(COUNTA(B87:H87)=0,"",IF(OR(E87="",F87="",H87&lt;&gt;"Sim"),"Pendente","OK"))</f>
        <v/>
      </c>
    </row>
    <row r="88" customFormat="false" ht="15" hidden="false" customHeight="false" outlineLevel="0" collapsed="false">
      <c r="B88" s="26"/>
      <c r="C88" s="27"/>
      <c r="D88" s="28"/>
      <c r="E88" s="27"/>
      <c r="F88" s="29"/>
      <c r="G88" s="29"/>
      <c r="H88" s="27"/>
      <c r="I88" s="30" t="str">
        <f aca="false">IF(COUNTA(B88:H88)=0,"",IF(OR(E88="",F88="",H88&lt;&gt;"Sim"),"Pendente","OK"))</f>
        <v/>
      </c>
    </row>
    <row r="89" customFormat="false" ht="15" hidden="false" customHeight="false" outlineLevel="0" collapsed="false">
      <c r="B89" s="26"/>
      <c r="C89" s="27"/>
      <c r="D89" s="28"/>
      <c r="E89" s="27"/>
      <c r="F89" s="29"/>
      <c r="G89" s="29"/>
      <c r="H89" s="27"/>
      <c r="I89" s="30" t="str">
        <f aca="false">IF(COUNTA(B89:H89)=0,"",IF(OR(E89="",F89="",H89&lt;&gt;"Sim"),"Pendente","OK"))</f>
        <v/>
      </c>
    </row>
    <row r="90" customFormat="false" ht="15" hidden="false" customHeight="false" outlineLevel="0" collapsed="false">
      <c r="B90" s="26"/>
      <c r="C90" s="27"/>
      <c r="D90" s="28"/>
      <c r="E90" s="27"/>
      <c r="F90" s="29"/>
      <c r="G90" s="29"/>
      <c r="H90" s="27"/>
      <c r="I90" s="30" t="str">
        <f aca="false">IF(COUNTA(B90:H90)=0,"",IF(OR(E90="",F90="",H90&lt;&gt;"Sim"),"Pendente","OK"))</f>
        <v/>
      </c>
    </row>
    <row r="91" customFormat="false" ht="15" hidden="false" customHeight="false" outlineLevel="0" collapsed="false">
      <c r="B91" s="26"/>
      <c r="C91" s="27"/>
      <c r="D91" s="28"/>
      <c r="E91" s="27"/>
      <c r="F91" s="29"/>
      <c r="G91" s="29"/>
      <c r="H91" s="27"/>
      <c r="I91" s="30" t="str">
        <f aca="false">IF(COUNTA(B91:H91)=0,"",IF(OR(E91="",F91="",H91&lt;&gt;"Sim"),"Pendente","OK"))</f>
        <v/>
      </c>
    </row>
    <row r="92" customFormat="false" ht="15" hidden="false" customHeight="false" outlineLevel="0" collapsed="false">
      <c r="B92" s="26"/>
      <c r="C92" s="27"/>
      <c r="D92" s="28"/>
      <c r="E92" s="27"/>
      <c r="F92" s="29"/>
      <c r="G92" s="29"/>
      <c r="H92" s="27"/>
      <c r="I92" s="30" t="str">
        <f aca="false">IF(COUNTA(B92:H92)=0,"",IF(OR(E92="",F92="",H92&lt;&gt;"Sim"),"Pendente","OK"))</f>
        <v/>
      </c>
    </row>
    <row r="93" customFormat="false" ht="15" hidden="false" customHeight="false" outlineLevel="0" collapsed="false">
      <c r="B93" s="26"/>
      <c r="C93" s="27"/>
      <c r="D93" s="28"/>
      <c r="E93" s="27"/>
      <c r="F93" s="29"/>
      <c r="G93" s="29"/>
      <c r="H93" s="27"/>
      <c r="I93" s="30" t="str">
        <f aca="false">IF(COUNTA(B93:H93)=0,"",IF(OR(E93="",F93="",H93&lt;&gt;"Sim"),"Pendente","OK"))</f>
        <v/>
      </c>
    </row>
    <row r="94" customFormat="false" ht="15" hidden="false" customHeight="false" outlineLevel="0" collapsed="false">
      <c r="B94" s="26"/>
      <c r="C94" s="27"/>
      <c r="D94" s="28"/>
      <c r="E94" s="27"/>
      <c r="F94" s="29"/>
      <c r="G94" s="29"/>
      <c r="H94" s="27"/>
      <c r="I94" s="30" t="str">
        <f aca="false">IF(COUNTA(B94:H94)=0,"",IF(OR(E94="",F94="",H94&lt;&gt;"Sim"),"Pendente","OK"))</f>
        <v/>
      </c>
    </row>
    <row r="95" customFormat="false" ht="15" hidden="false" customHeight="false" outlineLevel="0" collapsed="false">
      <c r="B95" s="26"/>
      <c r="C95" s="27"/>
      <c r="D95" s="28"/>
      <c r="E95" s="27"/>
      <c r="F95" s="29"/>
      <c r="G95" s="29"/>
      <c r="H95" s="27"/>
      <c r="I95" s="30" t="str">
        <f aca="false">IF(COUNTA(B95:H95)=0,"",IF(OR(E95="",F95="",H95&lt;&gt;"Sim"),"Pendente","OK"))</f>
        <v/>
      </c>
    </row>
    <row r="96" customFormat="false" ht="15" hidden="false" customHeight="false" outlineLevel="0" collapsed="false">
      <c r="B96" s="26"/>
      <c r="C96" s="27"/>
      <c r="D96" s="28"/>
      <c r="E96" s="27"/>
      <c r="F96" s="29"/>
      <c r="G96" s="29"/>
      <c r="H96" s="27"/>
      <c r="I96" s="30" t="str">
        <f aca="false">IF(COUNTA(B96:H96)=0,"",IF(OR(E96="",F96="",H96&lt;&gt;"Sim"),"Pendente","OK"))</f>
        <v/>
      </c>
    </row>
    <row r="97" customFormat="false" ht="15" hidden="false" customHeight="false" outlineLevel="0" collapsed="false">
      <c r="B97" s="26"/>
      <c r="C97" s="27"/>
      <c r="D97" s="28"/>
      <c r="E97" s="27"/>
      <c r="F97" s="29"/>
      <c r="G97" s="29"/>
      <c r="H97" s="27"/>
      <c r="I97" s="30" t="str">
        <f aca="false">IF(COUNTA(B97:H97)=0,"",IF(OR(E97="",F97="",H97&lt;&gt;"Sim"),"Pendente","OK"))</f>
        <v/>
      </c>
    </row>
    <row r="98" customFormat="false" ht="15" hidden="false" customHeight="false" outlineLevel="0" collapsed="false">
      <c r="B98" s="26"/>
      <c r="C98" s="27"/>
      <c r="D98" s="28"/>
      <c r="E98" s="27"/>
      <c r="F98" s="29"/>
      <c r="G98" s="29"/>
      <c r="H98" s="27"/>
      <c r="I98" s="30" t="str">
        <f aca="false">IF(COUNTA(B98:H98)=0,"",IF(OR(E98="",F98="",H98&lt;&gt;"Sim"),"Pendente","OK"))</f>
        <v/>
      </c>
    </row>
    <row r="99" customFormat="false" ht="15" hidden="false" customHeight="false" outlineLevel="0" collapsed="false">
      <c r="B99" s="26"/>
      <c r="C99" s="27"/>
      <c r="D99" s="28"/>
      <c r="E99" s="27"/>
      <c r="F99" s="29"/>
      <c r="G99" s="29"/>
      <c r="H99" s="27"/>
      <c r="I99" s="30" t="str">
        <f aca="false">IF(COUNTA(B99:H99)=0,"",IF(OR(E99="",F99="",H99&lt;&gt;"Sim"),"Pendente","OK"))</f>
        <v/>
      </c>
    </row>
    <row r="100" customFormat="false" ht="15" hidden="false" customHeight="false" outlineLevel="0" collapsed="false">
      <c r="B100" s="26"/>
      <c r="C100" s="27"/>
      <c r="D100" s="28"/>
      <c r="E100" s="27"/>
      <c r="F100" s="29"/>
      <c r="G100" s="29"/>
      <c r="H100" s="27"/>
      <c r="I100" s="30" t="str">
        <f aca="false">IF(COUNTA(B100:H100)=0,"",IF(OR(E100="",F100="",H100&lt;&gt;"Sim"),"Pendente","OK"))</f>
        <v/>
      </c>
    </row>
    <row r="101" customFormat="false" ht="15" hidden="false" customHeight="false" outlineLevel="0" collapsed="false">
      <c r="B101" s="26"/>
      <c r="C101" s="27"/>
      <c r="D101" s="28"/>
      <c r="E101" s="27"/>
      <c r="F101" s="29"/>
      <c r="G101" s="29"/>
      <c r="H101" s="27"/>
      <c r="I101" s="30" t="str">
        <f aca="false">IF(COUNTA(B101:H101)=0,"",IF(OR(E101="",F101="",H101&lt;&gt;"Sim"),"Pendente","OK"))</f>
        <v/>
      </c>
    </row>
    <row r="102" customFormat="false" ht="15" hidden="false" customHeight="false" outlineLevel="0" collapsed="false">
      <c r="B102" s="26"/>
      <c r="C102" s="27"/>
      <c r="D102" s="28"/>
      <c r="E102" s="27"/>
      <c r="F102" s="29"/>
      <c r="G102" s="29"/>
      <c r="H102" s="27"/>
      <c r="I102" s="30" t="str">
        <f aca="false">IF(COUNTA(B102:H102)=0,"",IF(OR(E102="",F102="",H102&lt;&gt;"Sim"),"Pendente","OK"))</f>
        <v/>
      </c>
    </row>
    <row r="103" customFormat="false" ht="15" hidden="false" customHeight="false" outlineLevel="0" collapsed="false">
      <c r="B103" s="26"/>
      <c r="C103" s="27"/>
      <c r="D103" s="28"/>
      <c r="E103" s="27"/>
      <c r="F103" s="29"/>
      <c r="G103" s="29"/>
      <c r="H103" s="27"/>
      <c r="I103" s="30" t="str">
        <f aca="false">IF(COUNTA(B103:H103)=0,"",IF(OR(E103="",F103="",H103&lt;&gt;"Sim"),"Pendente","OK"))</f>
        <v/>
      </c>
    </row>
    <row r="104" customFormat="false" ht="15" hidden="false" customHeight="false" outlineLevel="0" collapsed="false">
      <c r="B104" s="26"/>
      <c r="C104" s="27"/>
      <c r="D104" s="28"/>
      <c r="E104" s="27"/>
      <c r="F104" s="29"/>
      <c r="G104" s="29"/>
      <c r="H104" s="27"/>
      <c r="I104" s="30" t="str">
        <f aca="false">IF(COUNTA(B104:H104)=0,"",IF(OR(E104="",F104="",H104&lt;&gt;"Sim"),"Pendente","OK"))</f>
        <v/>
      </c>
    </row>
    <row r="105" customFormat="false" ht="15" hidden="false" customHeight="false" outlineLevel="0" collapsed="false">
      <c r="B105" s="26"/>
      <c r="C105" s="27"/>
      <c r="D105" s="28"/>
      <c r="E105" s="27"/>
      <c r="F105" s="29"/>
      <c r="G105" s="29"/>
      <c r="H105" s="27"/>
      <c r="I105" s="30" t="str">
        <f aca="false">IF(COUNTA(B105:H105)=0,"",IF(OR(E105="",F105="",H105&lt;&gt;"Sim"),"Pendente","OK"))</f>
        <v/>
      </c>
    </row>
    <row r="106" customFormat="false" ht="15" hidden="false" customHeight="false" outlineLevel="0" collapsed="false">
      <c r="B106" s="26"/>
      <c r="C106" s="27"/>
      <c r="D106" s="28"/>
      <c r="E106" s="27"/>
      <c r="F106" s="29"/>
      <c r="G106" s="29"/>
      <c r="H106" s="27"/>
      <c r="I106" s="30" t="str">
        <f aca="false">IF(COUNTA(B106:H106)=0,"",IF(OR(E106="",F106="",H106&lt;&gt;"Sim"),"Pendente","OK"))</f>
        <v/>
      </c>
    </row>
    <row r="107" customFormat="false" ht="15" hidden="false" customHeight="false" outlineLevel="0" collapsed="false">
      <c r="B107" s="26"/>
      <c r="C107" s="27"/>
      <c r="D107" s="28"/>
      <c r="E107" s="27"/>
      <c r="F107" s="29"/>
      <c r="G107" s="29"/>
      <c r="H107" s="27"/>
      <c r="I107" s="30" t="str">
        <f aca="false">IF(COUNTA(B107:H107)=0,"",IF(OR(E107="",F107="",H107&lt;&gt;"Sim"),"Pendente","OK"))</f>
        <v/>
      </c>
    </row>
    <row r="108" customFormat="false" ht="15" hidden="false" customHeight="false" outlineLevel="0" collapsed="false">
      <c r="B108" s="26"/>
      <c r="C108" s="27"/>
      <c r="D108" s="28"/>
      <c r="E108" s="27"/>
      <c r="F108" s="29"/>
      <c r="G108" s="29"/>
      <c r="H108" s="27"/>
      <c r="I108" s="30" t="str">
        <f aca="false">IF(COUNTA(B108:H108)=0,"",IF(OR(E108="",F108="",H108&lt;&gt;"Sim"),"Pendente","OK"))</f>
        <v/>
      </c>
    </row>
    <row r="109" customFormat="false" ht="15" hidden="false" customHeight="false" outlineLevel="0" collapsed="false">
      <c r="B109" s="26"/>
      <c r="C109" s="27"/>
      <c r="D109" s="28"/>
      <c r="E109" s="27"/>
      <c r="F109" s="29"/>
      <c r="G109" s="29"/>
      <c r="H109" s="27"/>
      <c r="I109" s="30" t="str">
        <f aca="false">IF(COUNTA(B109:H109)=0,"",IF(OR(E109="",F109="",H109&lt;&gt;"Sim"),"Pendente","OK"))</f>
        <v/>
      </c>
    </row>
    <row r="110" customFormat="false" ht="15" hidden="false" customHeight="false" outlineLevel="0" collapsed="false">
      <c r="B110" s="26"/>
      <c r="C110" s="27"/>
      <c r="D110" s="28"/>
      <c r="E110" s="27"/>
      <c r="F110" s="29"/>
      <c r="G110" s="29"/>
      <c r="H110" s="27"/>
      <c r="I110" s="30" t="str">
        <f aca="false">IF(COUNTA(B110:H110)=0,"",IF(OR(E110="",F110="",H110&lt;&gt;"Sim"),"Pendente","OK"))</f>
        <v/>
      </c>
    </row>
    <row r="111" customFormat="false" ht="15" hidden="false" customHeight="false" outlineLevel="0" collapsed="false">
      <c r="B111" s="26"/>
      <c r="C111" s="27"/>
      <c r="D111" s="28"/>
      <c r="E111" s="27"/>
      <c r="F111" s="29"/>
      <c r="G111" s="29"/>
      <c r="H111" s="27"/>
      <c r="I111" s="30" t="str">
        <f aca="false">IF(COUNTA(B111:H111)=0,"",IF(OR(E111="",F111="",H111&lt;&gt;"Sim"),"Pendente","OK"))</f>
        <v/>
      </c>
    </row>
    <row r="112" customFormat="false" ht="15" hidden="false" customHeight="false" outlineLevel="0" collapsed="false">
      <c r="B112" s="26"/>
      <c r="C112" s="27"/>
      <c r="D112" s="28"/>
      <c r="E112" s="27"/>
      <c r="F112" s="29"/>
      <c r="G112" s="29"/>
      <c r="H112" s="27"/>
      <c r="I112" s="30" t="str">
        <f aca="false">IF(COUNTA(B112:H112)=0,"",IF(OR(E112="",F112="",H112&lt;&gt;"Sim"),"Pendente","OK"))</f>
        <v/>
      </c>
    </row>
    <row r="113" customFormat="false" ht="15" hidden="false" customHeight="false" outlineLevel="0" collapsed="false">
      <c r="B113" s="26"/>
      <c r="C113" s="27"/>
      <c r="D113" s="28"/>
      <c r="E113" s="27"/>
      <c r="F113" s="29"/>
      <c r="G113" s="29"/>
      <c r="H113" s="27"/>
      <c r="I113" s="30" t="str">
        <f aca="false">IF(COUNTA(B113:H113)=0,"",IF(OR(E113="",F113="",H113&lt;&gt;"Sim"),"Pendente","OK"))</f>
        <v/>
      </c>
    </row>
    <row r="114" customFormat="false" ht="15" hidden="false" customHeight="false" outlineLevel="0" collapsed="false">
      <c r="B114" s="26"/>
      <c r="C114" s="27"/>
      <c r="D114" s="28"/>
      <c r="E114" s="27"/>
      <c r="F114" s="29"/>
      <c r="G114" s="29"/>
      <c r="H114" s="27"/>
      <c r="I114" s="30" t="str">
        <f aca="false">IF(COUNTA(B114:H114)=0,"",IF(OR(E114="",F114="",H114&lt;&gt;"Sim"),"Pendente","OK"))</f>
        <v/>
      </c>
    </row>
    <row r="115" customFormat="false" ht="15" hidden="false" customHeight="false" outlineLevel="0" collapsed="false">
      <c r="B115" s="26"/>
      <c r="C115" s="27"/>
      <c r="D115" s="28"/>
      <c r="E115" s="27"/>
      <c r="F115" s="29"/>
      <c r="G115" s="29"/>
      <c r="H115" s="27"/>
      <c r="I115" s="30" t="str">
        <f aca="false">IF(COUNTA(B115:H115)=0,"",IF(OR(E115="",F115="",H115&lt;&gt;"Sim"),"Pendente","OK"))</f>
        <v/>
      </c>
    </row>
    <row r="116" customFormat="false" ht="15" hidden="false" customHeight="false" outlineLevel="0" collapsed="false">
      <c r="B116" s="26"/>
      <c r="C116" s="27"/>
      <c r="D116" s="28"/>
      <c r="E116" s="27"/>
      <c r="F116" s="29"/>
      <c r="G116" s="29"/>
      <c r="H116" s="27"/>
      <c r="I116" s="30" t="str">
        <f aca="false">IF(COUNTA(B116:H116)=0,"",IF(OR(E116="",F116="",H116&lt;&gt;"Sim"),"Pendente","OK"))</f>
        <v/>
      </c>
    </row>
    <row r="117" customFormat="false" ht="15" hidden="false" customHeight="false" outlineLevel="0" collapsed="false">
      <c r="B117" s="26"/>
      <c r="C117" s="27"/>
      <c r="D117" s="28"/>
      <c r="E117" s="27"/>
      <c r="F117" s="29"/>
      <c r="G117" s="29"/>
      <c r="H117" s="27"/>
      <c r="I117" s="30" t="str">
        <f aca="false">IF(COUNTA(B117:H117)=0,"",IF(OR(E117="",F117="",H117&lt;&gt;"Sim"),"Pendente","OK"))</f>
        <v/>
      </c>
    </row>
    <row r="118" customFormat="false" ht="15" hidden="false" customHeight="false" outlineLevel="0" collapsed="false">
      <c r="B118" s="26"/>
      <c r="C118" s="27"/>
      <c r="D118" s="28"/>
      <c r="E118" s="27"/>
      <c r="F118" s="29"/>
      <c r="G118" s="29"/>
      <c r="H118" s="27"/>
      <c r="I118" s="30" t="str">
        <f aca="false">IF(COUNTA(B118:H118)=0,"",IF(OR(E118="",F118="",H118&lt;&gt;"Sim"),"Pendente","OK"))</f>
        <v/>
      </c>
    </row>
    <row r="119" customFormat="false" ht="15" hidden="false" customHeight="false" outlineLevel="0" collapsed="false">
      <c r="B119" s="26"/>
      <c r="C119" s="27"/>
      <c r="D119" s="28"/>
      <c r="E119" s="27"/>
      <c r="F119" s="29"/>
      <c r="G119" s="29"/>
      <c r="H119" s="27"/>
      <c r="I119" s="30" t="str">
        <f aca="false">IF(COUNTA(B119:H119)=0,"",IF(OR(E119="",F119="",H119&lt;&gt;"Sim"),"Pendente","OK"))</f>
        <v/>
      </c>
    </row>
    <row r="120" customFormat="false" ht="15" hidden="false" customHeight="false" outlineLevel="0" collapsed="false">
      <c r="B120" s="26"/>
      <c r="C120" s="27"/>
      <c r="D120" s="28"/>
      <c r="E120" s="27"/>
      <c r="F120" s="29"/>
      <c r="G120" s="29"/>
      <c r="H120" s="27"/>
      <c r="I120" s="30" t="str">
        <f aca="false">IF(COUNTA(B120:H120)=0,"",IF(OR(E120="",F120="",H120&lt;&gt;"Sim"),"Pendente","OK"))</f>
        <v/>
      </c>
    </row>
    <row r="121" customFormat="false" ht="15" hidden="false" customHeight="false" outlineLevel="0" collapsed="false">
      <c r="B121" s="26"/>
      <c r="C121" s="27"/>
      <c r="D121" s="28"/>
      <c r="E121" s="27"/>
      <c r="F121" s="29"/>
      <c r="G121" s="29"/>
      <c r="H121" s="27"/>
      <c r="I121" s="30" t="str">
        <f aca="false">IF(COUNTA(B121:H121)=0,"",IF(OR(E121="",F121="",H121&lt;&gt;"Sim"),"Pendente","OK"))</f>
        <v/>
      </c>
    </row>
    <row r="122" customFormat="false" ht="15" hidden="false" customHeight="false" outlineLevel="0" collapsed="false">
      <c r="B122" s="26"/>
      <c r="C122" s="27"/>
      <c r="D122" s="28"/>
      <c r="E122" s="27"/>
      <c r="F122" s="29"/>
      <c r="G122" s="29"/>
      <c r="H122" s="27"/>
      <c r="I122" s="30" t="str">
        <f aca="false">IF(COUNTA(B122:H122)=0,"",IF(OR(E122="",F122="",H122&lt;&gt;"Sim"),"Pendente","OK"))</f>
        <v/>
      </c>
    </row>
    <row r="123" customFormat="false" ht="15" hidden="false" customHeight="false" outlineLevel="0" collapsed="false">
      <c r="B123" s="26"/>
      <c r="C123" s="27"/>
      <c r="D123" s="28"/>
      <c r="E123" s="27"/>
      <c r="F123" s="29"/>
      <c r="G123" s="29"/>
      <c r="H123" s="27"/>
      <c r="I123" s="30" t="str">
        <f aca="false">IF(COUNTA(B123:H123)=0,"",IF(OR(E123="",F123="",H123&lt;&gt;"Sim"),"Pendente","OK"))</f>
        <v/>
      </c>
    </row>
    <row r="124" customFormat="false" ht="15" hidden="false" customHeight="false" outlineLevel="0" collapsed="false">
      <c r="B124" s="26"/>
      <c r="C124" s="27"/>
      <c r="D124" s="28"/>
      <c r="E124" s="27"/>
      <c r="F124" s="29"/>
      <c r="G124" s="29"/>
      <c r="H124" s="27"/>
      <c r="I124" s="30" t="str">
        <f aca="false">IF(COUNTA(B124:H124)=0,"",IF(OR(E124="",F124="",H124&lt;&gt;"Sim"),"Pendente","OK"))</f>
        <v/>
      </c>
    </row>
    <row r="125" customFormat="false" ht="15" hidden="false" customHeight="false" outlineLevel="0" collapsed="false">
      <c r="B125" s="26"/>
      <c r="C125" s="27"/>
      <c r="D125" s="28"/>
      <c r="E125" s="27"/>
      <c r="F125" s="29"/>
      <c r="G125" s="29"/>
      <c r="H125" s="27"/>
      <c r="I125" s="30" t="str">
        <f aca="false">IF(COUNTA(B125:H125)=0,"",IF(OR(E125="",F125="",H125&lt;&gt;"Sim"),"Pendente","OK"))</f>
        <v/>
      </c>
    </row>
    <row r="126" customFormat="false" ht="15" hidden="false" customHeight="false" outlineLevel="0" collapsed="false">
      <c r="B126" s="26"/>
      <c r="C126" s="27"/>
      <c r="D126" s="28"/>
      <c r="E126" s="27"/>
      <c r="F126" s="29"/>
      <c r="G126" s="29"/>
      <c r="H126" s="27"/>
      <c r="I126" s="30" t="str">
        <f aca="false">IF(COUNTA(B126:H126)=0,"",IF(OR(E126="",F126="",H126&lt;&gt;"Sim"),"Pendente","OK"))</f>
        <v/>
      </c>
    </row>
    <row r="127" customFormat="false" ht="15" hidden="false" customHeight="false" outlineLevel="0" collapsed="false">
      <c r="B127" s="26"/>
      <c r="C127" s="27"/>
      <c r="D127" s="28"/>
      <c r="E127" s="27"/>
      <c r="F127" s="29"/>
      <c r="G127" s="29"/>
      <c r="H127" s="27"/>
      <c r="I127" s="30" t="str">
        <f aca="false">IF(COUNTA(B127:H127)=0,"",IF(OR(E127="",F127="",H127&lt;&gt;"Sim"),"Pendente","OK"))</f>
        <v/>
      </c>
    </row>
    <row r="128" customFormat="false" ht="15" hidden="false" customHeight="false" outlineLevel="0" collapsed="false">
      <c r="B128" s="26"/>
      <c r="C128" s="27"/>
      <c r="D128" s="28"/>
      <c r="E128" s="27"/>
      <c r="F128" s="29"/>
      <c r="G128" s="29"/>
      <c r="H128" s="27"/>
      <c r="I128" s="30" t="str">
        <f aca="false">IF(COUNTA(B128:H128)=0,"",IF(OR(E128="",F128="",H128&lt;&gt;"Sim"),"Pendente","OK"))</f>
        <v/>
      </c>
    </row>
    <row r="129" customFormat="false" ht="15" hidden="false" customHeight="false" outlineLevel="0" collapsed="false">
      <c r="B129" s="26"/>
      <c r="C129" s="27"/>
      <c r="D129" s="28"/>
      <c r="E129" s="27"/>
      <c r="F129" s="29"/>
      <c r="G129" s="29"/>
      <c r="H129" s="27"/>
      <c r="I129" s="30" t="str">
        <f aca="false">IF(COUNTA(B129:H129)=0,"",IF(OR(E129="",F129="",H129&lt;&gt;"Sim"),"Pendente","OK"))</f>
        <v/>
      </c>
    </row>
    <row r="130" customFormat="false" ht="15" hidden="false" customHeight="false" outlineLevel="0" collapsed="false">
      <c r="B130" s="26"/>
      <c r="C130" s="27"/>
      <c r="D130" s="28"/>
      <c r="E130" s="27"/>
      <c r="F130" s="29"/>
      <c r="G130" s="29"/>
      <c r="H130" s="27"/>
      <c r="I130" s="30" t="str">
        <f aca="false">IF(COUNTA(B130:H130)=0,"",IF(OR(E130="",F130="",H130&lt;&gt;"Sim"),"Pendente","OK"))</f>
        <v/>
      </c>
    </row>
    <row r="131" customFormat="false" ht="15" hidden="false" customHeight="false" outlineLevel="0" collapsed="false">
      <c r="B131" s="26"/>
      <c r="C131" s="27"/>
      <c r="D131" s="28"/>
      <c r="E131" s="27"/>
      <c r="F131" s="29"/>
      <c r="G131" s="29"/>
      <c r="H131" s="27"/>
      <c r="I131" s="30" t="str">
        <f aca="false">IF(COUNTA(B131:H131)=0,"",IF(OR(E131="",F131="",H131&lt;&gt;"Sim"),"Pendente","OK"))</f>
        <v/>
      </c>
    </row>
    <row r="132" customFormat="false" ht="15" hidden="false" customHeight="false" outlineLevel="0" collapsed="false">
      <c r="B132" s="26"/>
      <c r="C132" s="27"/>
      <c r="D132" s="28"/>
      <c r="E132" s="27"/>
      <c r="F132" s="29"/>
      <c r="G132" s="29"/>
      <c r="H132" s="27"/>
      <c r="I132" s="30" t="str">
        <f aca="false">IF(COUNTA(B132:H132)=0,"",IF(OR(E132="",F132="",H132&lt;&gt;"Sim"),"Pendente","OK"))</f>
        <v/>
      </c>
    </row>
    <row r="133" customFormat="false" ht="15" hidden="false" customHeight="false" outlineLevel="0" collapsed="false">
      <c r="B133" s="26"/>
      <c r="C133" s="27"/>
      <c r="D133" s="28"/>
      <c r="E133" s="27"/>
      <c r="F133" s="29"/>
      <c r="G133" s="29"/>
      <c r="H133" s="27"/>
      <c r="I133" s="30" t="str">
        <f aca="false">IF(COUNTA(B133:H133)=0,"",IF(OR(E133="",F133="",H133&lt;&gt;"Sim"),"Pendente","OK"))</f>
        <v/>
      </c>
    </row>
    <row r="134" customFormat="false" ht="15" hidden="false" customHeight="false" outlineLevel="0" collapsed="false">
      <c r="B134" s="26"/>
      <c r="C134" s="27"/>
      <c r="D134" s="28"/>
      <c r="E134" s="27"/>
      <c r="F134" s="29"/>
      <c r="G134" s="29"/>
      <c r="H134" s="27"/>
      <c r="I134" s="30" t="str">
        <f aca="false">IF(COUNTA(B134:H134)=0,"",IF(OR(E134="",F134="",H134&lt;&gt;"Sim"),"Pendente","OK"))</f>
        <v/>
      </c>
    </row>
    <row r="135" customFormat="false" ht="15" hidden="false" customHeight="false" outlineLevel="0" collapsed="false">
      <c r="B135" s="26"/>
      <c r="C135" s="27"/>
      <c r="D135" s="28"/>
      <c r="E135" s="27"/>
      <c r="F135" s="29"/>
      <c r="G135" s="29"/>
      <c r="H135" s="27"/>
      <c r="I135" s="30" t="str">
        <f aca="false">IF(COUNTA(B135:H135)=0,"",IF(OR(E135="",F135="",H135&lt;&gt;"Sim"),"Pendente","OK"))</f>
        <v/>
      </c>
    </row>
    <row r="136" customFormat="false" ht="15" hidden="false" customHeight="false" outlineLevel="0" collapsed="false">
      <c r="B136" s="26"/>
      <c r="C136" s="27"/>
      <c r="D136" s="28"/>
      <c r="E136" s="27"/>
      <c r="F136" s="29"/>
      <c r="G136" s="29"/>
      <c r="H136" s="27"/>
      <c r="I136" s="30" t="str">
        <f aca="false">IF(COUNTA(B136:H136)=0,"",IF(OR(E136="",F136="",H136&lt;&gt;"Sim"),"Pendente","OK"))</f>
        <v/>
      </c>
    </row>
    <row r="137" customFormat="false" ht="15" hidden="false" customHeight="false" outlineLevel="0" collapsed="false">
      <c r="B137" s="26"/>
      <c r="C137" s="27"/>
      <c r="D137" s="28"/>
      <c r="E137" s="27"/>
      <c r="F137" s="29"/>
      <c r="G137" s="29"/>
      <c r="H137" s="27"/>
      <c r="I137" s="30" t="str">
        <f aca="false">IF(COUNTA(B137:H137)=0,"",IF(OR(E137="",F137="",H137&lt;&gt;"Sim"),"Pendente","OK"))</f>
        <v/>
      </c>
    </row>
    <row r="138" customFormat="false" ht="15" hidden="false" customHeight="false" outlineLevel="0" collapsed="false">
      <c r="B138" s="26"/>
      <c r="C138" s="27"/>
      <c r="D138" s="28"/>
      <c r="E138" s="27"/>
      <c r="F138" s="29"/>
      <c r="G138" s="29"/>
      <c r="H138" s="27"/>
      <c r="I138" s="30" t="str">
        <f aca="false">IF(COUNTA(B138:H138)=0,"",IF(OR(E138="",F138="",H138&lt;&gt;"Sim"),"Pendente","OK"))</f>
        <v/>
      </c>
    </row>
    <row r="139" customFormat="false" ht="15" hidden="false" customHeight="false" outlineLevel="0" collapsed="false">
      <c r="B139" s="26"/>
      <c r="C139" s="27"/>
      <c r="D139" s="28"/>
      <c r="E139" s="27"/>
      <c r="F139" s="29"/>
      <c r="G139" s="29"/>
      <c r="H139" s="27"/>
      <c r="I139" s="30" t="str">
        <f aca="false">IF(COUNTA(B139:H139)=0,"",IF(OR(E139="",F139="",H139&lt;&gt;"Sim"),"Pendente","OK"))</f>
        <v/>
      </c>
    </row>
    <row r="140" customFormat="false" ht="15" hidden="false" customHeight="false" outlineLevel="0" collapsed="false">
      <c r="B140" s="26"/>
      <c r="C140" s="27"/>
      <c r="D140" s="28"/>
      <c r="E140" s="27"/>
      <c r="F140" s="29"/>
      <c r="G140" s="29"/>
      <c r="H140" s="27"/>
      <c r="I140" s="30" t="str">
        <f aca="false">IF(COUNTA(B140:H140)=0,"",IF(OR(E140="",F140="",H140&lt;&gt;"Sim"),"Pendente","OK"))</f>
        <v/>
      </c>
    </row>
    <row r="141" customFormat="false" ht="15" hidden="false" customHeight="false" outlineLevel="0" collapsed="false">
      <c r="B141" s="26"/>
      <c r="C141" s="27"/>
      <c r="D141" s="28"/>
      <c r="E141" s="27"/>
      <c r="F141" s="29"/>
      <c r="G141" s="29"/>
      <c r="H141" s="27"/>
      <c r="I141" s="30" t="str">
        <f aca="false">IF(COUNTA(B141:H141)=0,"",IF(OR(E141="",F141="",H141&lt;&gt;"Sim"),"Pendente","OK"))</f>
        <v/>
      </c>
    </row>
    <row r="142" customFormat="false" ht="15" hidden="false" customHeight="false" outlineLevel="0" collapsed="false">
      <c r="B142" s="26"/>
      <c r="C142" s="27"/>
      <c r="D142" s="28"/>
      <c r="E142" s="27"/>
      <c r="F142" s="29"/>
      <c r="G142" s="29"/>
      <c r="H142" s="27"/>
      <c r="I142" s="30" t="str">
        <f aca="false">IF(COUNTA(B142:H142)=0,"",IF(OR(E142="",F142="",H142&lt;&gt;"Sim"),"Pendente","OK"))</f>
        <v/>
      </c>
    </row>
    <row r="143" customFormat="false" ht="15" hidden="false" customHeight="false" outlineLevel="0" collapsed="false">
      <c r="B143" s="26"/>
      <c r="C143" s="27"/>
      <c r="D143" s="28"/>
      <c r="E143" s="27"/>
      <c r="F143" s="29"/>
      <c r="G143" s="29"/>
      <c r="H143" s="27"/>
      <c r="I143" s="30" t="str">
        <f aca="false">IF(COUNTA(B143:H143)=0,"",IF(OR(E143="",F143="",H143&lt;&gt;"Sim"),"Pendente","OK"))</f>
        <v/>
      </c>
    </row>
    <row r="144" customFormat="false" ht="15" hidden="false" customHeight="false" outlineLevel="0" collapsed="false">
      <c r="B144" s="26"/>
      <c r="C144" s="27"/>
      <c r="D144" s="28"/>
      <c r="E144" s="27"/>
      <c r="F144" s="29"/>
      <c r="G144" s="29"/>
      <c r="H144" s="27"/>
      <c r="I144" s="30" t="str">
        <f aca="false">IF(COUNTA(B144:H144)=0,"",IF(OR(E144="",F144="",H144&lt;&gt;"Sim"),"Pendente","OK"))</f>
        <v/>
      </c>
    </row>
    <row r="145" customFormat="false" ht="15" hidden="false" customHeight="false" outlineLevel="0" collapsed="false">
      <c r="B145" s="26"/>
      <c r="C145" s="27"/>
      <c r="D145" s="28"/>
      <c r="E145" s="27"/>
      <c r="F145" s="29"/>
      <c r="G145" s="29"/>
      <c r="H145" s="27"/>
      <c r="I145" s="30" t="str">
        <f aca="false">IF(COUNTA(B145:H145)=0,"",IF(OR(E145="",F145="",H145&lt;&gt;"Sim"),"Pendente","OK"))</f>
        <v/>
      </c>
    </row>
    <row r="146" customFormat="false" ht="15" hidden="false" customHeight="false" outlineLevel="0" collapsed="false">
      <c r="B146" s="26"/>
      <c r="C146" s="27"/>
      <c r="D146" s="28"/>
      <c r="E146" s="27"/>
      <c r="F146" s="29"/>
      <c r="G146" s="29"/>
      <c r="H146" s="27"/>
      <c r="I146" s="30" t="str">
        <f aca="false">IF(COUNTA(B146:H146)=0,"",IF(OR(E146="",F146="",H146&lt;&gt;"Sim"),"Pendente","OK"))</f>
        <v/>
      </c>
    </row>
    <row r="147" customFormat="false" ht="15" hidden="false" customHeight="false" outlineLevel="0" collapsed="false">
      <c r="B147" s="26"/>
      <c r="C147" s="27"/>
      <c r="D147" s="28"/>
      <c r="E147" s="27"/>
      <c r="F147" s="29"/>
      <c r="G147" s="29"/>
      <c r="H147" s="27"/>
      <c r="I147" s="30" t="str">
        <f aca="false">IF(COUNTA(B147:H147)=0,"",IF(OR(E147="",F147="",H147&lt;&gt;"Sim"),"Pendente","OK"))</f>
        <v/>
      </c>
    </row>
    <row r="148" customFormat="false" ht="15" hidden="false" customHeight="false" outlineLevel="0" collapsed="false">
      <c r="B148" s="26"/>
      <c r="C148" s="27"/>
      <c r="D148" s="28"/>
      <c r="E148" s="27"/>
      <c r="F148" s="29"/>
      <c r="G148" s="29"/>
      <c r="H148" s="27"/>
      <c r="I148" s="30" t="str">
        <f aca="false">IF(COUNTA(B148:H148)=0,"",IF(OR(E148="",F148="",H148&lt;&gt;"Sim"),"Pendente","OK"))</f>
        <v/>
      </c>
    </row>
    <row r="149" customFormat="false" ht="15" hidden="false" customHeight="false" outlineLevel="0" collapsed="false">
      <c r="B149" s="26"/>
      <c r="C149" s="27"/>
      <c r="D149" s="28"/>
      <c r="E149" s="27"/>
      <c r="F149" s="29"/>
      <c r="G149" s="29"/>
      <c r="H149" s="27"/>
      <c r="I149" s="30" t="str">
        <f aca="false">IF(COUNTA(B149:H149)=0,"",IF(OR(E149="",F149="",H149&lt;&gt;"Sim"),"Pendente","OK"))</f>
        <v/>
      </c>
    </row>
    <row r="150" customFormat="false" ht="15" hidden="false" customHeight="false" outlineLevel="0" collapsed="false">
      <c r="B150" s="26"/>
      <c r="C150" s="27"/>
      <c r="D150" s="28"/>
      <c r="E150" s="27"/>
      <c r="F150" s="29"/>
      <c r="G150" s="29"/>
      <c r="H150" s="27"/>
      <c r="I150" s="30" t="str">
        <f aca="false">IF(COUNTA(B150:H150)=0,"",IF(OR(E150="",F150="",H150&lt;&gt;"Sim"),"Pendente","OK"))</f>
        <v/>
      </c>
    </row>
    <row r="151" customFormat="false" ht="15" hidden="false" customHeight="false" outlineLevel="0" collapsed="false">
      <c r="B151" s="26"/>
      <c r="C151" s="27"/>
      <c r="D151" s="28"/>
      <c r="E151" s="27"/>
      <c r="F151" s="29"/>
      <c r="G151" s="29"/>
      <c r="H151" s="27"/>
      <c r="I151" s="30" t="str">
        <f aca="false">IF(COUNTA(B151:H151)=0,"",IF(OR(E151="",F151="",H151&lt;&gt;"Sim"),"Pendente","OK"))</f>
        <v/>
      </c>
    </row>
    <row r="152" customFormat="false" ht="15" hidden="false" customHeight="false" outlineLevel="0" collapsed="false">
      <c r="B152" s="26"/>
      <c r="C152" s="27"/>
      <c r="D152" s="28"/>
      <c r="E152" s="27"/>
      <c r="F152" s="29"/>
      <c r="G152" s="29"/>
      <c r="H152" s="27"/>
      <c r="I152" s="30" t="str">
        <f aca="false">IF(COUNTA(B152:H152)=0,"",IF(OR(E152="",F152="",H152&lt;&gt;"Sim"),"Pendente","OK"))</f>
        <v/>
      </c>
    </row>
    <row r="153" customFormat="false" ht="15" hidden="false" customHeight="false" outlineLevel="0" collapsed="false">
      <c r="B153" s="26"/>
      <c r="C153" s="27"/>
      <c r="D153" s="28"/>
      <c r="E153" s="27"/>
      <c r="F153" s="29"/>
      <c r="G153" s="29"/>
      <c r="H153" s="27"/>
      <c r="I153" s="30" t="str">
        <f aca="false">IF(COUNTA(B153:H153)=0,"",IF(OR(E153="",F153="",H153&lt;&gt;"Sim"),"Pendente","OK"))</f>
        <v/>
      </c>
    </row>
    <row r="154" customFormat="false" ht="15" hidden="false" customHeight="false" outlineLevel="0" collapsed="false">
      <c r="B154" s="26"/>
      <c r="C154" s="27"/>
      <c r="D154" s="28"/>
      <c r="E154" s="27"/>
      <c r="F154" s="29"/>
      <c r="G154" s="29"/>
      <c r="H154" s="27"/>
      <c r="I154" s="30" t="str">
        <f aca="false">IF(COUNTA(B154:H154)=0,"",IF(OR(E154="",F154="",H154&lt;&gt;"Sim"),"Pendente","OK"))</f>
        <v/>
      </c>
    </row>
    <row r="155" customFormat="false" ht="15" hidden="false" customHeight="false" outlineLevel="0" collapsed="false">
      <c r="B155" s="26"/>
      <c r="C155" s="27"/>
      <c r="D155" s="28"/>
      <c r="E155" s="27"/>
      <c r="F155" s="29"/>
      <c r="G155" s="29"/>
      <c r="H155" s="27"/>
      <c r="I155" s="30" t="str">
        <f aca="false">IF(COUNTA(B155:H155)=0,"",IF(OR(E155="",F155="",H155&lt;&gt;"Sim"),"Pendente","OK"))</f>
        <v/>
      </c>
    </row>
    <row r="156" customFormat="false" ht="15" hidden="false" customHeight="false" outlineLevel="0" collapsed="false">
      <c r="B156" s="26"/>
      <c r="C156" s="27"/>
      <c r="D156" s="28"/>
      <c r="E156" s="27"/>
      <c r="F156" s="29"/>
      <c r="G156" s="29"/>
      <c r="H156" s="27"/>
      <c r="I156" s="30" t="str">
        <f aca="false">IF(COUNTA(B156:H156)=0,"",IF(OR(E156="",F156="",H156&lt;&gt;"Sim"),"Pendente","OK"))</f>
        <v/>
      </c>
    </row>
    <row r="157" customFormat="false" ht="15" hidden="false" customHeight="false" outlineLevel="0" collapsed="false">
      <c r="B157" s="26"/>
      <c r="C157" s="27"/>
      <c r="D157" s="28"/>
      <c r="E157" s="27"/>
      <c r="F157" s="29"/>
      <c r="G157" s="29"/>
      <c r="H157" s="27"/>
      <c r="I157" s="30" t="str">
        <f aca="false">IF(COUNTA(B157:H157)=0,"",IF(OR(E157="",F157="",H157&lt;&gt;"Sim"),"Pendente","OK"))</f>
        <v/>
      </c>
    </row>
    <row r="158" customFormat="false" ht="15" hidden="false" customHeight="false" outlineLevel="0" collapsed="false">
      <c r="B158" s="26"/>
      <c r="C158" s="27"/>
      <c r="D158" s="28"/>
      <c r="E158" s="27"/>
      <c r="F158" s="29"/>
      <c r="G158" s="29"/>
      <c r="H158" s="27"/>
      <c r="I158" s="30" t="str">
        <f aca="false">IF(COUNTA(B158:H158)=0,"",IF(OR(E158="",F158="",H158&lt;&gt;"Sim"),"Pendente","OK"))</f>
        <v/>
      </c>
    </row>
    <row r="159" customFormat="false" ht="15" hidden="false" customHeight="false" outlineLevel="0" collapsed="false">
      <c r="B159" s="26"/>
      <c r="C159" s="27"/>
      <c r="D159" s="28"/>
      <c r="E159" s="27"/>
      <c r="F159" s="29"/>
      <c r="G159" s="29"/>
      <c r="H159" s="27"/>
      <c r="I159" s="30" t="str">
        <f aca="false">IF(COUNTA(B159:H159)=0,"",IF(OR(E159="",F159="",H159&lt;&gt;"Sim"),"Pendente","OK"))</f>
        <v/>
      </c>
    </row>
    <row r="160" customFormat="false" ht="15" hidden="false" customHeight="false" outlineLevel="0" collapsed="false">
      <c r="B160" s="26"/>
      <c r="C160" s="27"/>
      <c r="D160" s="28"/>
      <c r="E160" s="27"/>
      <c r="F160" s="29"/>
      <c r="G160" s="29"/>
      <c r="H160" s="27"/>
      <c r="I160" s="30" t="str">
        <f aca="false">IF(COUNTA(B160:H160)=0,"",IF(OR(E160="",F160="",H160&lt;&gt;"Sim"),"Pendente","OK"))</f>
        <v/>
      </c>
    </row>
    <row r="161" customFormat="false" ht="15" hidden="false" customHeight="false" outlineLevel="0" collapsed="false">
      <c r="B161" s="26"/>
      <c r="C161" s="27"/>
      <c r="D161" s="28"/>
      <c r="E161" s="27"/>
      <c r="F161" s="29"/>
      <c r="G161" s="29"/>
      <c r="H161" s="27"/>
      <c r="I161" s="30" t="str">
        <f aca="false">IF(COUNTA(B161:H161)=0,"",IF(OR(E161="",F161="",H161&lt;&gt;"Sim"),"Pendente","OK"))</f>
        <v/>
      </c>
    </row>
    <row r="162" customFormat="false" ht="15" hidden="false" customHeight="false" outlineLevel="0" collapsed="false">
      <c r="B162" s="26"/>
      <c r="C162" s="27"/>
      <c r="D162" s="28"/>
      <c r="E162" s="27"/>
      <c r="F162" s="29"/>
      <c r="G162" s="29"/>
      <c r="H162" s="27"/>
      <c r="I162" s="30" t="str">
        <f aca="false">IF(COUNTA(B162:H162)=0,"",IF(OR(E162="",F162="",H162&lt;&gt;"Sim"),"Pendente","OK"))</f>
        <v/>
      </c>
    </row>
    <row r="163" customFormat="false" ht="15" hidden="false" customHeight="false" outlineLevel="0" collapsed="false">
      <c r="B163" s="26"/>
      <c r="C163" s="27"/>
      <c r="D163" s="28"/>
      <c r="E163" s="27"/>
      <c r="F163" s="29"/>
      <c r="G163" s="29"/>
      <c r="H163" s="27"/>
      <c r="I163" s="30" t="str">
        <f aca="false">IF(COUNTA(B163:H163)=0,"",IF(OR(E163="",F163="",H163&lt;&gt;"Sim"),"Pendente","OK"))</f>
        <v/>
      </c>
    </row>
    <row r="164" customFormat="false" ht="15" hidden="false" customHeight="false" outlineLevel="0" collapsed="false">
      <c r="B164" s="26"/>
      <c r="C164" s="27"/>
      <c r="D164" s="28"/>
      <c r="E164" s="27"/>
      <c r="F164" s="29"/>
      <c r="G164" s="29"/>
      <c r="H164" s="27"/>
      <c r="I164" s="30" t="str">
        <f aca="false">IF(COUNTA(B164:H164)=0,"",IF(OR(E164="",F164="",H164&lt;&gt;"Sim"),"Pendente","OK"))</f>
        <v/>
      </c>
    </row>
    <row r="165" customFormat="false" ht="15" hidden="false" customHeight="false" outlineLevel="0" collapsed="false">
      <c r="B165" s="26"/>
      <c r="C165" s="27"/>
      <c r="D165" s="28"/>
      <c r="E165" s="27"/>
      <c r="F165" s="29"/>
      <c r="G165" s="29"/>
      <c r="H165" s="27"/>
      <c r="I165" s="30" t="str">
        <f aca="false">IF(COUNTA(B165:H165)=0,"",IF(OR(E165="",F165="",H165&lt;&gt;"Sim"),"Pendente","OK"))</f>
        <v/>
      </c>
    </row>
    <row r="166" customFormat="false" ht="15" hidden="false" customHeight="false" outlineLevel="0" collapsed="false">
      <c r="B166" s="26"/>
      <c r="C166" s="27"/>
      <c r="D166" s="28"/>
      <c r="E166" s="27"/>
      <c r="F166" s="29"/>
      <c r="G166" s="29"/>
      <c r="H166" s="27"/>
      <c r="I166" s="30" t="str">
        <f aca="false">IF(COUNTA(B166:H166)=0,"",IF(OR(E166="",F166="",H166&lt;&gt;"Sim"),"Pendente","OK"))</f>
        <v/>
      </c>
    </row>
    <row r="167" customFormat="false" ht="15" hidden="false" customHeight="false" outlineLevel="0" collapsed="false">
      <c r="B167" s="26"/>
      <c r="C167" s="27"/>
      <c r="D167" s="28"/>
      <c r="E167" s="27"/>
      <c r="F167" s="29"/>
      <c r="G167" s="29"/>
      <c r="H167" s="27"/>
      <c r="I167" s="30" t="str">
        <f aca="false">IF(COUNTA(B167:H167)=0,"",IF(OR(E167="",F167="",H167&lt;&gt;"Sim"),"Pendente","OK"))</f>
        <v/>
      </c>
    </row>
    <row r="168" customFormat="false" ht="15" hidden="false" customHeight="false" outlineLevel="0" collapsed="false">
      <c r="B168" s="26"/>
      <c r="C168" s="27"/>
      <c r="D168" s="28"/>
      <c r="E168" s="27"/>
      <c r="F168" s="29"/>
      <c r="G168" s="29"/>
      <c r="H168" s="27"/>
      <c r="I168" s="30" t="str">
        <f aca="false">IF(COUNTA(B168:H168)=0,"",IF(OR(E168="",F168="",H168&lt;&gt;"Sim"),"Pendente","OK"))</f>
        <v/>
      </c>
    </row>
    <row r="169" customFormat="false" ht="15" hidden="false" customHeight="false" outlineLevel="0" collapsed="false">
      <c r="B169" s="26"/>
      <c r="C169" s="27"/>
      <c r="D169" s="28"/>
      <c r="E169" s="27"/>
      <c r="F169" s="29"/>
      <c r="G169" s="29"/>
      <c r="H169" s="27"/>
      <c r="I169" s="30" t="str">
        <f aca="false">IF(COUNTA(B169:H169)=0,"",IF(OR(E169="",F169="",H169&lt;&gt;"Sim"),"Pendente","OK"))</f>
        <v/>
      </c>
    </row>
    <row r="170" customFormat="false" ht="15" hidden="false" customHeight="false" outlineLevel="0" collapsed="false">
      <c r="B170" s="26"/>
      <c r="C170" s="27"/>
      <c r="D170" s="28"/>
      <c r="E170" s="27"/>
      <c r="F170" s="29"/>
      <c r="G170" s="29"/>
      <c r="H170" s="27"/>
      <c r="I170" s="30" t="str">
        <f aca="false">IF(COUNTA(B170:H170)=0,"",IF(OR(E170="",F170="",H170&lt;&gt;"Sim"),"Pendente","OK"))</f>
        <v/>
      </c>
    </row>
    <row r="171" customFormat="false" ht="15" hidden="false" customHeight="false" outlineLevel="0" collapsed="false">
      <c r="B171" s="26"/>
      <c r="C171" s="27"/>
      <c r="D171" s="28"/>
      <c r="E171" s="27"/>
      <c r="F171" s="29"/>
      <c r="G171" s="29"/>
      <c r="H171" s="27"/>
      <c r="I171" s="30" t="str">
        <f aca="false">IF(COUNTA(B171:H171)=0,"",IF(OR(E171="",F171="",H171&lt;&gt;"Sim"),"Pendente","OK"))</f>
        <v/>
      </c>
    </row>
    <row r="172" customFormat="false" ht="15" hidden="false" customHeight="false" outlineLevel="0" collapsed="false">
      <c r="B172" s="26"/>
      <c r="C172" s="27"/>
      <c r="D172" s="28"/>
      <c r="E172" s="27"/>
      <c r="F172" s="29"/>
      <c r="G172" s="29"/>
      <c r="H172" s="27"/>
      <c r="I172" s="30" t="str">
        <f aca="false">IF(COUNTA(B172:H172)=0,"",IF(OR(E172="",F172="",H172&lt;&gt;"Sim"),"Pendente","OK"))</f>
        <v/>
      </c>
    </row>
    <row r="173" customFormat="false" ht="15" hidden="false" customHeight="false" outlineLevel="0" collapsed="false">
      <c r="B173" s="26"/>
      <c r="C173" s="27"/>
      <c r="D173" s="28"/>
      <c r="E173" s="27"/>
      <c r="F173" s="29"/>
      <c r="G173" s="29"/>
      <c r="H173" s="27"/>
      <c r="I173" s="30" t="str">
        <f aca="false">IF(COUNTA(B173:H173)=0,"",IF(OR(E173="",F173="",H173&lt;&gt;"Sim"),"Pendente","OK"))</f>
        <v/>
      </c>
    </row>
    <row r="174" customFormat="false" ht="15" hidden="false" customHeight="false" outlineLevel="0" collapsed="false">
      <c r="B174" s="26"/>
      <c r="C174" s="27"/>
      <c r="D174" s="28"/>
      <c r="E174" s="27"/>
      <c r="F174" s="29"/>
      <c r="G174" s="29"/>
      <c r="H174" s="27"/>
      <c r="I174" s="30" t="str">
        <f aca="false">IF(COUNTA(B174:H174)=0,"",IF(OR(E174="",F174="",H174&lt;&gt;"Sim"),"Pendente","OK"))</f>
        <v/>
      </c>
    </row>
    <row r="175" customFormat="false" ht="15" hidden="false" customHeight="false" outlineLevel="0" collapsed="false">
      <c r="B175" s="26"/>
      <c r="C175" s="27"/>
      <c r="D175" s="28"/>
      <c r="E175" s="27"/>
      <c r="F175" s="29"/>
      <c r="G175" s="29"/>
      <c r="H175" s="27"/>
      <c r="I175" s="30" t="str">
        <f aca="false">IF(COUNTA(B175:H175)=0,"",IF(OR(E175="",F175="",H175&lt;&gt;"Sim"),"Pendente","OK"))</f>
        <v/>
      </c>
    </row>
    <row r="176" customFormat="false" ht="15" hidden="false" customHeight="false" outlineLevel="0" collapsed="false">
      <c r="B176" s="26"/>
      <c r="C176" s="27"/>
      <c r="D176" s="28"/>
      <c r="E176" s="27"/>
      <c r="F176" s="29"/>
      <c r="G176" s="29"/>
      <c r="H176" s="27"/>
      <c r="I176" s="30" t="str">
        <f aca="false">IF(COUNTA(B176:H176)=0,"",IF(OR(E176="",F176="",H176&lt;&gt;"Sim"),"Pendente","OK"))</f>
        <v/>
      </c>
    </row>
    <row r="177" customFormat="false" ht="15" hidden="false" customHeight="false" outlineLevel="0" collapsed="false">
      <c r="B177" s="26"/>
      <c r="C177" s="27"/>
      <c r="D177" s="28"/>
      <c r="E177" s="27"/>
      <c r="F177" s="29"/>
      <c r="G177" s="29"/>
      <c r="H177" s="27"/>
      <c r="I177" s="30" t="str">
        <f aca="false">IF(COUNTA(B177:H177)=0,"",IF(OR(E177="",F177="",H177&lt;&gt;"Sim"),"Pendente","OK"))</f>
        <v/>
      </c>
    </row>
    <row r="178" customFormat="false" ht="15" hidden="false" customHeight="false" outlineLevel="0" collapsed="false">
      <c r="B178" s="26"/>
      <c r="C178" s="27"/>
      <c r="D178" s="28"/>
      <c r="E178" s="27"/>
      <c r="F178" s="29"/>
      <c r="G178" s="29"/>
      <c r="H178" s="27"/>
      <c r="I178" s="30" t="str">
        <f aca="false">IF(COUNTA(B178:H178)=0,"",IF(OR(E178="",F178="",H178&lt;&gt;"Sim"),"Pendente","OK"))</f>
        <v/>
      </c>
    </row>
    <row r="179" customFormat="false" ht="15" hidden="false" customHeight="false" outlineLevel="0" collapsed="false">
      <c r="B179" s="26"/>
      <c r="C179" s="27"/>
      <c r="D179" s="28"/>
      <c r="E179" s="27"/>
      <c r="F179" s="29"/>
      <c r="G179" s="29"/>
      <c r="H179" s="27"/>
      <c r="I179" s="30" t="str">
        <f aca="false">IF(COUNTA(B179:H179)=0,"",IF(OR(E179="",F179="",H179&lt;&gt;"Sim"),"Pendente","OK"))</f>
        <v/>
      </c>
    </row>
    <row r="180" customFormat="false" ht="15" hidden="false" customHeight="false" outlineLevel="0" collapsed="false">
      <c r="B180" s="26"/>
      <c r="C180" s="27"/>
      <c r="D180" s="28"/>
      <c r="E180" s="27"/>
      <c r="F180" s="29"/>
      <c r="G180" s="29"/>
      <c r="H180" s="27"/>
      <c r="I180" s="30" t="str">
        <f aca="false">IF(COUNTA(B180:H180)=0,"",IF(OR(E180="",F180="",H180&lt;&gt;"Sim"),"Pendente","OK"))</f>
        <v/>
      </c>
    </row>
    <row r="181" customFormat="false" ht="15" hidden="false" customHeight="false" outlineLevel="0" collapsed="false">
      <c r="B181" s="26"/>
      <c r="C181" s="27"/>
      <c r="D181" s="28"/>
      <c r="E181" s="27"/>
      <c r="F181" s="29"/>
      <c r="G181" s="29"/>
      <c r="H181" s="27"/>
      <c r="I181" s="30" t="str">
        <f aca="false">IF(COUNTA(B181:H181)=0,"",IF(OR(E181="",F181="",H181&lt;&gt;"Sim"),"Pendente","OK"))</f>
        <v/>
      </c>
    </row>
    <row r="182" customFormat="false" ht="15" hidden="false" customHeight="false" outlineLevel="0" collapsed="false">
      <c r="B182" s="26"/>
      <c r="C182" s="27"/>
      <c r="D182" s="28"/>
      <c r="E182" s="27"/>
      <c r="F182" s="29"/>
      <c r="G182" s="29"/>
      <c r="H182" s="27"/>
      <c r="I182" s="30" t="str">
        <f aca="false">IF(COUNTA(B182:H182)=0,"",IF(OR(E182="",F182="",H182&lt;&gt;"Sim"),"Pendente","OK"))</f>
        <v/>
      </c>
    </row>
    <row r="183" customFormat="false" ht="15" hidden="false" customHeight="false" outlineLevel="0" collapsed="false">
      <c r="B183" s="26"/>
      <c r="C183" s="27"/>
      <c r="D183" s="28"/>
      <c r="E183" s="27"/>
      <c r="F183" s="29"/>
      <c r="G183" s="29"/>
      <c r="H183" s="27"/>
      <c r="I183" s="30" t="str">
        <f aca="false">IF(COUNTA(B183:H183)=0,"",IF(OR(E183="",F183="",H183&lt;&gt;"Sim"),"Pendente","OK"))</f>
        <v/>
      </c>
    </row>
    <row r="184" customFormat="false" ht="15" hidden="false" customHeight="false" outlineLevel="0" collapsed="false">
      <c r="B184" s="26"/>
      <c r="C184" s="27"/>
      <c r="D184" s="28"/>
      <c r="E184" s="27"/>
      <c r="F184" s="29"/>
      <c r="G184" s="29"/>
      <c r="H184" s="27"/>
      <c r="I184" s="30" t="str">
        <f aca="false">IF(COUNTA(B184:H184)=0,"",IF(OR(E184="",F184="",H184&lt;&gt;"Sim"),"Pendente","OK"))</f>
        <v/>
      </c>
    </row>
    <row r="185" customFormat="false" ht="15" hidden="false" customHeight="false" outlineLevel="0" collapsed="false">
      <c r="B185" s="26"/>
      <c r="C185" s="27"/>
      <c r="D185" s="28"/>
      <c r="E185" s="27"/>
      <c r="F185" s="29"/>
      <c r="G185" s="29"/>
      <c r="H185" s="27"/>
      <c r="I185" s="30" t="str">
        <f aca="false">IF(COUNTA(B185:H185)=0,"",IF(OR(E185="",F185="",H185&lt;&gt;"Sim"),"Pendente","OK"))</f>
        <v/>
      </c>
    </row>
    <row r="186" customFormat="false" ht="15" hidden="false" customHeight="false" outlineLevel="0" collapsed="false">
      <c r="B186" s="26"/>
      <c r="C186" s="27"/>
      <c r="D186" s="28"/>
      <c r="E186" s="27"/>
      <c r="F186" s="29"/>
      <c r="G186" s="29"/>
      <c r="H186" s="27"/>
      <c r="I186" s="30" t="str">
        <f aca="false">IF(COUNTA(B186:H186)=0,"",IF(OR(E186="",F186="",H186&lt;&gt;"Sim"),"Pendente","OK"))</f>
        <v/>
      </c>
    </row>
    <row r="187" customFormat="false" ht="15" hidden="false" customHeight="false" outlineLevel="0" collapsed="false">
      <c r="B187" s="26"/>
      <c r="C187" s="27"/>
      <c r="D187" s="28"/>
      <c r="E187" s="27"/>
      <c r="F187" s="29"/>
      <c r="G187" s="29"/>
      <c r="H187" s="27"/>
      <c r="I187" s="30" t="str">
        <f aca="false">IF(COUNTA(B187:H187)=0,"",IF(OR(E187="",F187="",H187&lt;&gt;"Sim"),"Pendente","OK"))</f>
        <v/>
      </c>
    </row>
    <row r="188" customFormat="false" ht="15" hidden="false" customHeight="false" outlineLevel="0" collapsed="false">
      <c r="B188" s="26"/>
      <c r="C188" s="27"/>
      <c r="D188" s="28"/>
      <c r="E188" s="27"/>
      <c r="F188" s="29"/>
      <c r="G188" s="29"/>
      <c r="H188" s="27"/>
      <c r="I188" s="30" t="str">
        <f aca="false">IF(COUNTA(B188:H188)=0,"",IF(OR(E188="",F188="",H188&lt;&gt;"Sim"),"Pendente","OK"))</f>
        <v/>
      </c>
    </row>
    <row r="189" customFormat="false" ht="15" hidden="false" customHeight="false" outlineLevel="0" collapsed="false">
      <c r="B189" s="26"/>
      <c r="C189" s="27"/>
      <c r="D189" s="28"/>
      <c r="E189" s="27"/>
      <c r="F189" s="29"/>
      <c r="G189" s="29"/>
      <c r="H189" s="27"/>
      <c r="I189" s="30" t="str">
        <f aca="false">IF(COUNTA(B189:H189)=0,"",IF(OR(E189="",F189="",H189&lt;&gt;"Sim"),"Pendente","OK"))</f>
        <v/>
      </c>
    </row>
    <row r="190" customFormat="false" ht="15" hidden="false" customHeight="false" outlineLevel="0" collapsed="false">
      <c r="B190" s="26"/>
      <c r="C190" s="27"/>
      <c r="D190" s="28"/>
      <c r="E190" s="27"/>
      <c r="F190" s="29"/>
      <c r="G190" s="29"/>
      <c r="H190" s="27"/>
      <c r="I190" s="30" t="str">
        <f aca="false">IF(COUNTA(B190:H190)=0,"",IF(OR(E190="",F190="",H190&lt;&gt;"Sim"),"Pendente","OK"))</f>
        <v/>
      </c>
    </row>
    <row r="191" customFormat="false" ht="15" hidden="false" customHeight="false" outlineLevel="0" collapsed="false">
      <c r="B191" s="26"/>
      <c r="C191" s="27"/>
      <c r="D191" s="28"/>
      <c r="E191" s="27"/>
      <c r="F191" s="29"/>
      <c r="G191" s="29"/>
      <c r="H191" s="27"/>
      <c r="I191" s="30" t="str">
        <f aca="false">IF(COUNTA(B191:H191)=0,"",IF(OR(E191="",F191="",H191&lt;&gt;"Sim"),"Pendente","OK"))</f>
        <v/>
      </c>
    </row>
    <row r="192" customFormat="false" ht="15" hidden="false" customHeight="false" outlineLevel="0" collapsed="false">
      <c r="B192" s="26"/>
      <c r="C192" s="27"/>
      <c r="D192" s="28"/>
      <c r="E192" s="27"/>
      <c r="F192" s="29"/>
      <c r="G192" s="29"/>
      <c r="H192" s="27"/>
      <c r="I192" s="30" t="str">
        <f aca="false">IF(COUNTA(B192:H192)=0,"",IF(OR(E192="",F192="",H192&lt;&gt;"Sim"),"Pendente","OK"))</f>
        <v/>
      </c>
    </row>
    <row r="193" customFormat="false" ht="15" hidden="false" customHeight="false" outlineLevel="0" collapsed="false">
      <c r="B193" s="26"/>
      <c r="C193" s="27"/>
      <c r="D193" s="28"/>
      <c r="E193" s="27"/>
      <c r="F193" s="29"/>
      <c r="G193" s="29"/>
      <c r="H193" s="27"/>
      <c r="I193" s="30" t="str">
        <f aca="false">IF(COUNTA(B193:H193)=0,"",IF(OR(E193="",F193="",H193&lt;&gt;"Sim"),"Pendente","OK"))</f>
        <v/>
      </c>
    </row>
    <row r="194" customFormat="false" ht="15" hidden="false" customHeight="false" outlineLevel="0" collapsed="false">
      <c r="B194" s="26"/>
      <c r="C194" s="27"/>
      <c r="D194" s="28"/>
      <c r="E194" s="27"/>
      <c r="F194" s="29"/>
      <c r="G194" s="29"/>
      <c r="H194" s="27"/>
      <c r="I194" s="30" t="str">
        <f aca="false">IF(COUNTA(B194:H194)=0,"",IF(OR(E194="",F194="",H194&lt;&gt;"Sim"),"Pendente","OK"))</f>
        <v/>
      </c>
    </row>
    <row r="195" customFormat="false" ht="15" hidden="false" customHeight="false" outlineLevel="0" collapsed="false">
      <c r="B195" s="26"/>
      <c r="C195" s="27"/>
      <c r="D195" s="28"/>
      <c r="E195" s="27"/>
      <c r="F195" s="29"/>
      <c r="G195" s="29"/>
      <c r="H195" s="27"/>
      <c r="I195" s="30" t="str">
        <f aca="false">IF(COUNTA(B195:H195)=0,"",IF(OR(E195="",F195="",H195&lt;&gt;"Sim"),"Pendente","OK"))</f>
        <v/>
      </c>
    </row>
    <row r="196" customFormat="false" ht="15" hidden="false" customHeight="false" outlineLevel="0" collapsed="false">
      <c r="B196" s="26"/>
      <c r="C196" s="27"/>
      <c r="D196" s="28"/>
      <c r="E196" s="27"/>
      <c r="F196" s="29"/>
      <c r="G196" s="29"/>
      <c r="H196" s="27"/>
      <c r="I196" s="30" t="str">
        <f aca="false">IF(COUNTA(B196:H196)=0,"",IF(OR(E196="",F196="",H196&lt;&gt;"Sim"),"Pendente","OK"))</f>
        <v/>
      </c>
    </row>
    <row r="197" customFormat="false" ht="15" hidden="false" customHeight="false" outlineLevel="0" collapsed="false">
      <c r="B197" s="26"/>
      <c r="C197" s="27"/>
      <c r="D197" s="28"/>
      <c r="E197" s="27"/>
      <c r="F197" s="29"/>
      <c r="G197" s="29"/>
      <c r="H197" s="27"/>
      <c r="I197" s="30" t="str">
        <f aca="false">IF(COUNTA(B197:H197)=0,"",IF(OR(E197="",F197="",H197&lt;&gt;"Sim"),"Pendente","OK"))</f>
        <v/>
      </c>
    </row>
    <row r="198" customFormat="false" ht="15" hidden="false" customHeight="false" outlineLevel="0" collapsed="false">
      <c r="B198" s="26"/>
      <c r="C198" s="27"/>
      <c r="D198" s="28"/>
      <c r="E198" s="27"/>
      <c r="F198" s="29"/>
      <c r="G198" s="29"/>
      <c r="H198" s="27"/>
      <c r="I198" s="30" t="str">
        <f aca="false">IF(COUNTA(B198:H198)=0,"",IF(OR(E198="",F198="",H198&lt;&gt;"Sim"),"Pendente","OK"))</f>
        <v/>
      </c>
    </row>
    <row r="199" customFormat="false" ht="15" hidden="false" customHeight="false" outlineLevel="0" collapsed="false">
      <c r="B199" s="26"/>
      <c r="C199" s="27"/>
      <c r="D199" s="28"/>
      <c r="E199" s="27"/>
      <c r="F199" s="29"/>
      <c r="G199" s="29"/>
      <c r="H199" s="27"/>
      <c r="I199" s="30" t="str">
        <f aca="false">IF(COUNTA(B199:H199)=0,"",IF(OR(E199="",F199="",H199&lt;&gt;"Sim"),"Pendente","OK"))</f>
        <v/>
      </c>
    </row>
    <row r="200" customFormat="false" ht="15" hidden="false" customHeight="false" outlineLevel="0" collapsed="false">
      <c r="B200" s="26"/>
      <c r="C200" s="27"/>
      <c r="D200" s="28"/>
      <c r="E200" s="27"/>
      <c r="F200" s="29"/>
      <c r="G200" s="29"/>
      <c r="H200" s="27"/>
      <c r="I200" s="30" t="str">
        <f aca="false">IF(COUNTA(B200:H200)=0,"",IF(OR(E200="",F200="",H200&lt;&gt;"Sim"),"Pendente","OK"))</f>
        <v/>
      </c>
    </row>
    <row r="201" customFormat="false" ht="15" hidden="false" customHeight="false" outlineLevel="0" collapsed="false">
      <c r="B201" s="26"/>
      <c r="C201" s="27"/>
      <c r="D201" s="28"/>
      <c r="E201" s="27"/>
      <c r="F201" s="29"/>
      <c r="G201" s="29"/>
      <c r="H201" s="27"/>
      <c r="I201" s="30" t="str">
        <f aca="false">IF(COUNTA(B201:H201)=0,"",IF(OR(E201="",F201="",H201&lt;&gt;"Sim"),"Pendente","OK"))</f>
        <v/>
      </c>
    </row>
    <row r="202" customFormat="false" ht="15" hidden="false" customHeight="false" outlineLevel="0" collapsed="false">
      <c r="B202" s="26"/>
      <c r="C202" s="27"/>
      <c r="D202" s="28"/>
      <c r="E202" s="27"/>
      <c r="F202" s="29"/>
      <c r="G202" s="29"/>
      <c r="H202" s="27"/>
      <c r="I202" s="30" t="str">
        <f aca="false">IF(COUNTA(B202:H202)=0,"",IF(OR(E202="",F202="",H202&lt;&gt;"Sim"),"Pendente","OK"))</f>
        <v/>
      </c>
    </row>
    <row r="203" customFormat="false" ht="15" hidden="false" customHeight="false" outlineLevel="0" collapsed="false">
      <c r="B203" s="26"/>
      <c r="C203" s="27"/>
      <c r="D203" s="28"/>
      <c r="E203" s="27"/>
      <c r="F203" s="29"/>
      <c r="G203" s="29"/>
      <c r="H203" s="27"/>
      <c r="I203" s="30" t="str">
        <f aca="false">IF(COUNTA(B203:H203)=0,"",IF(OR(E203="",F203="",H203&lt;&gt;"Sim"),"Pendente","OK"))</f>
        <v/>
      </c>
    </row>
    <row r="204" customFormat="false" ht="15" hidden="false" customHeight="false" outlineLevel="0" collapsed="false">
      <c r="B204" s="26"/>
      <c r="C204" s="27"/>
      <c r="D204" s="28"/>
      <c r="E204" s="27"/>
      <c r="F204" s="29"/>
      <c r="G204" s="29"/>
      <c r="H204" s="27"/>
      <c r="I204" s="30" t="str">
        <f aca="false">IF(COUNTA(B204:H204)=0,"",IF(OR(E204="",F204="",H204&lt;&gt;"Sim"),"Pendente","OK"))</f>
        <v/>
      </c>
    </row>
    <row r="205" customFormat="false" ht="15" hidden="false" customHeight="false" outlineLevel="0" collapsed="false">
      <c r="B205" s="26"/>
      <c r="C205" s="27"/>
      <c r="D205" s="28"/>
      <c r="E205" s="27"/>
      <c r="F205" s="29"/>
      <c r="G205" s="29"/>
      <c r="H205" s="27"/>
      <c r="I205" s="30" t="str">
        <f aca="false">IF(COUNTA(B205:H205)=0,"",IF(OR(E205="",F205="",H205&lt;&gt;"Sim"),"Pendente","OK"))</f>
        <v/>
      </c>
    </row>
  </sheetData>
  <mergeCells count="1">
    <mergeCell ref="B1:I3"/>
  </mergeCells>
  <conditionalFormatting sqref="I6:I205">
    <cfRule type="cellIs" priority="2" operator="equal" aboveAverage="0" equalAverage="0" bottom="0" percent="0" rank="0" text="" dxfId="0">
      <formula>"Pendente"</formula>
    </cfRule>
    <cfRule type="cellIs" priority="3" operator="equal" aboveAverage="0" equalAverage="0" bottom="0" percent="0" rank="0" text="" dxfId="1">
      <formula>"OK"</formula>
    </cfRule>
  </conditionalFormatting>
  <dataValidations count="6">
    <dataValidation allowBlank="true" error="Informe uma data válida dentro do ano-calendário definido no Menu." errorStyle="stop" errorTitle="Data fora do ano-calendário" operator="between" prompt="Use uma data do ano-calendário." promptTitle="Data fora do ano-calendário" showDropDown="false" showErrorMessage="true" showInputMessage="true" sqref="B6:B205" type="custom">
      <formula1>AND(ISNUMBER(B6),YEAR(B6)=ano_base)</formula1>
      <formula2>0</formula2>
    </dataValidation>
    <dataValidation allowBlank="true" error="Digite só números: 11 dígitos (CPF) ou 14 dígitos (CNPJ)." errorStyle="stop" errorTitle="CPF/CNPJ inválido" operator="between" prompt="Só números: 11 (CPF) ou 14 (CNPJ) dígitos." promptTitle="CPF/CNPJ inválido" showDropDown="false" showErrorMessage="true" showInputMessage="true" sqref="D6:D205" type="custom">
      <formula1>AND(ISNUMBER(--D6),OR(LEN(D6)=11,LEN(D6)=14))</formula1>
      <formula2>0</formula2>
    </dataValidation>
    <dataValidation allowBlank="true" error="Escolha uma opção da lista." errorStyle="stop" errorTitle="Valor inválido" operator="between" prompt="Escolha na lista." promptTitle="Tipo de rendimento" showDropDown="false" showErrorMessage="true" showInputMessage="true" sqref="E6:E205" type="list">
      <formula1>tipos_rendimento</formula1>
      <formula2>0</formula2>
    </dataValidation>
    <dataValidation allowBlank="true" error="Informe um valor numérico maior ou igual a zero." errorStyle="stop" errorTitle="Valor inválido" operator="between" showDropDown="false" showErrorMessage="true" showInputMessage="false" sqref="F6:F205" type="custom">
      <formula1>AND(ISNUMBER(F6),F6&gt;=0)</formula1>
      <formula2>0</formula2>
    </dataValidation>
    <dataValidation allowBlank="true" error="O IR retido deve ser um número entre zero e o valor bruto." errorStyle="stop" errorTitle="IR retido inválido" operator="between" showDropDown="false" showErrorMessage="true" showInputMessage="false" sqref="G6:G205" type="custom">
      <formula1>AND(ISNUMBER(G6),G6&gt;=0,G6&lt;=N(F6))</formula1>
      <formula2>0</formula2>
    </dataValidation>
    <dataValidation allowBlank="true" error="Escolha uma opção da lista." errorStyle="stop" errorTitle="Valor inválido" operator="between" prompt="Sim ou Não." promptTitle="Informe recebido?" showDropDown="false" showErrorMessage="true" showInputMessage="true" sqref="H6:H205" type="list">
      <formula1>sim_nao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J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8" min="6" style="0" width="16"/>
    <col collapsed="false" customWidth="true" hidden="false" outlineLevel="0" max="10" min="9" style="0" width="14"/>
  </cols>
  <sheetData>
    <row r="1" customFormat="false" ht="15" hidden="false" customHeight="false" outlineLevel="0" collapsed="false">
      <c r="B1" s="1" t="s">
        <v>64</v>
      </c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B4" s="12" t="str">
        <f aca="false">HYPERLINK("#'Menu'!A1","« Voltar ao Menu")</f>
        <v>« Voltar ao Menu</v>
      </c>
      <c r="D4" s="25" t="s">
        <v>46</v>
      </c>
    </row>
    <row r="5" customFormat="false" ht="30" hidden="false" customHeight="true" outlineLevel="0" collapsed="false">
      <c r="B5" s="15" t="s">
        <v>47</v>
      </c>
      <c r="C5" s="15" t="s">
        <v>65</v>
      </c>
      <c r="D5" s="15" t="s">
        <v>49</v>
      </c>
      <c r="E5" s="15" t="s">
        <v>29</v>
      </c>
      <c r="F5" s="15" t="s">
        <v>66</v>
      </c>
      <c r="G5" s="15" t="s">
        <v>67</v>
      </c>
      <c r="H5" s="15" t="s">
        <v>30</v>
      </c>
      <c r="I5" s="15" t="s">
        <v>68</v>
      </c>
      <c r="J5" s="15" t="s">
        <v>52</v>
      </c>
    </row>
    <row r="6" customFormat="false" ht="15" hidden="false" customHeight="false" outlineLevel="0" collapsed="false">
      <c r="B6" s="26" t="n">
        <v>46095</v>
      </c>
      <c r="C6" s="27" t="s">
        <v>69</v>
      </c>
      <c r="D6" s="28" t="s">
        <v>70</v>
      </c>
      <c r="E6" s="27" t="s">
        <v>71</v>
      </c>
      <c r="F6" s="29" t="n">
        <v>450</v>
      </c>
      <c r="G6" s="29" t="n">
        <v>0</v>
      </c>
      <c r="H6" s="31" t="n">
        <f aca="false">IF(F6="","",F6-N(G6))</f>
        <v>450</v>
      </c>
      <c r="I6" s="27" t="s">
        <v>56</v>
      </c>
      <c r="J6" s="30" t="str">
        <f aca="false">IF(COUNTA(B6:G6,I6)=0,"",IF(OR(E6="",F6="",I6&lt;&gt;"Sim"),"Pendente","OK"))</f>
        <v>OK</v>
      </c>
    </row>
    <row r="7" customFormat="false" ht="15" hidden="false" customHeight="false" outlineLevel="0" collapsed="false">
      <c r="B7" s="26" t="n">
        <v>46055</v>
      </c>
      <c r="C7" s="27" t="s">
        <v>72</v>
      </c>
      <c r="D7" s="28" t="s">
        <v>73</v>
      </c>
      <c r="E7" s="27" t="s">
        <v>74</v>
      </c>
      <c r="F7" s="29" t="n">
        <v>1200</v>
      </c>
      <c r="G7" s="29" t="n">
        <v>0</v>
      </c>
      <c r="H7" s="31" t="n">
        <f aca="false">IF(F7="","",F7-N(G7))</f>
        <v>1200</v>
      </c>
      <c r="I7" s="27" t="s">
        <v>56</v>
      </c>
      <c r="J7" s="30" t="str">
        <f aca="false">IF(COUNTA(B7:G7,I7)=0,"",IF(OR(E7="",F7="",I7&lt;&gt;"Sim"),"Pendente","OK"))</f>
        <v>OK</v>
      </c>
    </row>
    <row r="8" customFormat="false" ht="15" hidden="false" customHeight="false" outlineLevel="0" collapsed="false">
      <c r="B8" s="26" t="n">
        <v>46274</v>
      </c>
      <c r="C8" s="27" t="s">
        <v>75</v>
      </c>
      <c r="D8" s="28" t="s">
        <v>76</v>
      </c>
      <c r="E8" s="27" t="s">
        <v>71</v>
      </c>
      <c r="F8" s="29" t="n">
        <v>320</v>
      </c>
      <c r="G8" s="29" t="n">
        <v>120</v>
      </c>
      <c r="H8" s="31" t="n">
        <f aca="false">IF(F8="","",F8-N(G8))</f>
        <v>200</v>
      </c>
      <c r="I8" s="27" t="s">
        <v>63</v>
      </c>
      <c r="J8" s="30" t="str">
        <f aca="false">IF(COUNTA(B8:G8,I8)=0,"",IF(OR(E8="",F8="",I8&lt;&gt;"Sim"),"Pendente","OK"))</f>
        <v>Pendente</v>
      </c>
    </row>
    <row r="9" customFormat="false" ht="15" hidden="false" customHeight="false" outlineLevel="0" collapsed="false">
      <c r="B9" s="26"/>
      <c r="C9" s="27"/>
      <c r="D9" s="28"/>
      <c r="E9" s="27"/>
      <c r="F9" s="29"/>
      <c r="G9" s="29"/>
      <c r="H9" s="31" t="str">
        <f aca="false">IF(F9="","",F9-N(G9))</f>
        <v/>
      </c>
      <c r="I9" s="27"/>
      <c r="J9" s="30" t="str">
        <f aca="false">IF(COUNTA(B9:G9,I9)=0,"",IF(OR(E9="",F9="",I9&lt;&gt;"Sim"),"Pendente","OK"))</f>
        <v/>
      </c>
    </row>
    <row r="10" customFormat="false" ht="15" hidden="false" customHeight="false" outlineLevel="0" collapsed="false">
      <c r="B10" s="26"/>
      <c r="C10" s="27"/>
      <c r="D10" s="28"/>
      <c r="E10" s="27"/>
      <c r="F10" s="29"/>
      <c r="G10" s="29"/>
      <c r="H10" s="31" t="str">
        <f aca="false">IF(F10="","",F10-N(G10))</f>
        <v/>
      </c>
      <c r="I10" s="27"/>
      <c r="J10" s="30" t="str">
        <f aca="false">IF(COUNTA(B10:G10,I10)=0,"",IF(OR(E10="",F10="",I10&lt;&gt;"Sim"),"Pendente","OK"))</f>
        <v/>
      </c>
    </row>
    <row r="11" customFormat="false" ht="15" hidden="false" customHeight="false" outlineLevel="0" collapsed="false">
      <c r="B11" s="26"/>
      <c r="C11" s="27"/>
      <c r="D11" s="28"/>
      <c r="E11" s="27"/>
      <c r="F11" s="29"/>
      <c r="G11" s="29"/>
      <c r="H11" s="31" t="str">
        <f aca="false">IF(F11="","",F11-N(G11))</f>
        <v/>
      </c>
      <c r="I11" s="27"/>
      <c r="J11" s="30" t="str">
        <f aca="false">IF(COUNTA(B11:G11,I11)=0,"",IF(OR(E11="",F11="",I11&lt;&gt;"Sim"),"Pendente","OK"))</f>
        <v/>
      </c>
    </row>
    <row r="12" customFormat="false" ht="15" hidden="false" customHeight="false" outlineLevel="0" collapsed="false">
      <c r="B12" s="26"/>
      <c r="C12" s="27"/>
      <c r="D12" s="28"/>
      <c r="E12" s="27"/>
      <c r="F12" s="29"/>
      <c r="G12" s="29"/>
      <c r="H12" s="31" t="str">
        <f aca="false">IF(F12="","",F12-N(G12))</f>
        <v/>
      </c>
      <c r="I12" s="27"/>
      <c r="J12" s="30" t="str">
        <f aca="false">IF(COUNTA(B12:G12,I12)=0,"",IF(OR(E12="",F12="",I12&lt;&gt;"Sim"),"Pendente","OK"))</f>
        <v/>
      </c>
    </row>
    <row r="13" customFormat="false" ht="15" hidden="false" customHeight="false" outlineLevel="0" collapsed="false">
      <c r="B13" s="26"/>
      <c r="C13" s="27"/>
      <c r="D13" s="28"/>
      <c r="E13" s="27"/>
      <c r="F13" s="29"/>
      <c r="G13" s="29"/>
      <c r="H13" s="31" t="str">
        <f aca="false">IF(F13="","",F13-N(G13))</f>
        <v/>
      </c>
      <c r="I13" s="27"/>
      <c r="J13" s="30" t="str">
        <f aca="false">IF(COUNTA(B13:G13,I13)=0,"",IF(OR(E13="",F13="",I13&lt;&gt;"Sim"),"Pendente","OK"))</f>
        <v/>
      </c>
    </row>
    <row r="14" customFormat="false" ht="15" hidden="false" customHeight="false" outlineLevel="0" collapsed="false">
      <c r="B14" s="26"/>
      <c r="C14" s="27"/>
      <c r="D14" s="28"/>
      <c r="E14" s="27"/>
      <c r="F14" s="29"/>
      <c r="G14" s="29"/>
      <c r="H14" s="31" t="str">
        <f aca="false">IF(F14="","",F14-N(G14))</f>
        <v/>
      </c>
      <c r="I14" s="27"/>
      <c r="J14" s="30" t="str">
        <f aca="false">IF(COUNTA(B14:G14,I14)=0,"",IF(OR(E14="",F14="",I14&lt;&gt;"Sim"),"Pendente","OK"))</f>
        <v/>
      </c>
    </row>
    <row r="15" customFormat="false" ht="15" hidden="false" customHeight="false" outlineLevel="0" collapsed="false">
      <c r="B15" s="26"/>
      <c r="C15" s="27"/>
      <c r="D15" s="28"/>
      <c r="E15" s="27"/>
      <c r="F15" s="29"/>
      <c r="G15" s="29"/>
      <c r="H15" s="31" t="str">
        <f aca="false">IF(F15="","",F15-N(G15))</f>
        <v/>
      </c>
      <c r="I15" s="27"/>
      <c r="J15" s="30" t="str">
        <f aca="false">IF(COUNTA(B15:G15,I15)=0,"",IF(OR(E15="",F15="",I15&lt;&gt;"Sim"),"Pendente","OK"))</f>
        <v/>
      </c>
    </row>
    <row r="16" customFormat="false" ht="15" hidden="false" customHeight="false" outlineLevel="0" collapsed="false">
      <c r="B16" s="26"/>
      <c r="C16" s="27"/>
      <c r="D16" s="28"/>
      <c r="E16" s="27"/>
      <c r="F16" s="29"/>
      <c r="G16" s="29"/>
      <c r="H16" s="31" t="str">
        <f aca="false">IF(F16="","",F16-N(G16))</f>
        <v/>
      </c>
      <c r="I16" s="27"/>
      <c r="J16" s="30" t="str">
        <f aca="false">IF(COUNTA(B16:G16,I16)=0,"",IF(OR(E16="",F16="",I16&lt;&gt;"Sim"),"Pendente","OK"))</f>
        <v/>
      </c>
    </row>
    <row r="17" customFormat="false" ht="15" hidden="false" customHeight="false" outlineLevel="0" collapsed="false">
      <c r="B17" s="26"/>
      <c r="C17" s="27"/>
      <c r="D17" s="28"/>
      <c r="E17" s="27"/>
      <c r="F17" s="29"/>
      <c r="G17" s="29"/>
      <c r="H17" s="31" t="str">
        <f aca="false">IF(F17="","",F17-N(G17))</f>
        <v/>
      </c>
      <c r="I17" s="27"/>
      <c r="J17" s="30" t="str">
        <f aca="false">IF(COUNTA(B17:G17,I17)=0,"",IF(OR(E17="",F17="",I17&lt;&gt;"Sim"),"Pendente","OK"))</f>
        <v/>
      </c>
    </row>
    <row r="18" customFormat="false" ht="15" hidden="false" customHeight="false" outlineLevel="0" collapsed="false">
      <c r="B18" s="26"/>
      <c r="C18" s="27"/>
      <c r="D18" s="28"/>
      <c r="E18" s="27"/>
      <c r="F18" s="29"/>
      <c r="G18" s="29"/>
      <c r="H18" s="31" t="str">
        <f aca="false">IF(F18="","",F18-N(G18))</f>
        <v/>
      </c>
      <c r="I18" s="27"/>
      <c r="J18" s="30" t="str">
        <f aca="false">IF(COUNTA(B18:G18,I18)=0,"",IF(OR(E18="",F18="",I18&lt;&gt;"Sim"),"Pendente","OK"))</f>
        <v/>
      </c>
    </row>
    <row r="19" customFormat="false" ht="15" hidden="false" customHeight="false" outlineLevel="0" collapsed="false">
      <c r="B19" s="26"/>
      <c r="C19" s="27"/>
      <c r="D19" s="28"/>
      <c r="E19" s="27"/>
      <c r="F19" s="29"/>
      <c r="G19" s="29"/>
      <c r="H19" s="31" t="str">
        <f aca="false">IF(F19="","",F19-N(G19))</f>
        <v/>
      </c>
      <c r="I19" s="27"/>
      <c r="J19" s="30" t="str">
        <f aca="false">IF(COUNTA(B19:G19,I19)=0,"",IF(OR(E19="",F19="",I19&lt;&gt;"Sim"),"Pendente","OK"))</f>
        <v/>
      </c>
    </row>
    <row r="20" customFormat="false" ht="15" hidden="false" customHeight="false" outlineLevel="0" collapsed="false">
      <c r="B20" s="26"/>
      <c r="C20" s="27"/>
      <c r="D20" s="28"/>
      <c r="E20" s="27"/>
      <c r="F20" s="29"/>
      <c r="G20" s="29"/>
      <c r="H20" s="31" t="str">
        <f aca="false">IF(F20="","",F20-N(G20))</f>
        <v/>
      </c>
      <c r="I20" s="27"/>
      <c r="J20" s="30" t="str">
        <f aca="false">IF(COUNTA(B20:G20,I20)=0,"",IF(OR(E20="",F20="",I20&lt;&gt;"Sim"),"Pendente","OK"))</f>
        <v/>
      </c>
    </row>
    <row r="21" customFormat="false" ht="15" hidden="false" customHeight="false" outlineLevel="0" collapsed="false">
      <c r="B21" s="26"/>
      <c r="C21" s="27"/>
      <c r="D21" s="28"/>
      <c r="E21" s="27"/>
      <c r="F21" s="29"/>
      <c r="G21" s="29"/>
      <c r="H21" s="31" t="str">
        <f aca="false">IF(F21="","",F21-N(G21))</f>
        <v/>
      </c>
      <c r="I21" s="27"/>
      <c r="J21" s="30" t="str">
        <f aca="false">IF(COUNTA(B21:G21,I21)=0,"",IF(OR(E21="",F21="",I21&lt;&gt;"Sim"),"Pendente","OK"))</f>
        <v/>
      </c>
    </row>
    <row r="22" customFormat="false" ht="15" hidden="false" customHeight="false" outlineLevel="0" collapsed="false">
      <c r="B22" s="26"/>
      <c r="C22" s="27"/>
      <c r="D22" s="28"/>
      <c r="E22" s="27"/>
      <c r="F22" s="29"/>
      <c r="G22" s="29"/>
      <c r="H22" s="31" t="str">
        <f aca="false">IF(F22="","",F22-N(G22))</f>
        <v/>
      </c>
      <c r="I22" s="27"/>
      <c r="J22" s="30" t="str">
        <f aca="false">IF(COUNTA(B22:G22,I22)=0,"",IF(OR(E22="",F22="",I22&lt;&gt;"Sim"),"Pendente","OK"))</f>
        <v/>
      </c>
    </row>
    <row r="23" customFormat="false" ht="15" hidden="false" customHeight="false" outlineLevel="0" collapsed="false">
      <c r="B23" s="26"/>
      <c r="C23" s="27"/>
      <c r="D23" s="28"/>
      <c r="E23" s="27"/>
      <c r="F23" s="29"/>
      <c r="G23" s="29"/>
      <c r="H23" s="31" t="str">
        <f aca="false">IF(F23="","",F23-N(G23))</f>
        <v/>
      </c>
      <c r="I23" s="27"/>
      <c r="J23" s="30" t="str">
        <f aca="false">IF(COUNTA(B23:G23,I23)=0,"",IF(OR(E23="",F23="",I23&lt;&gt;"Sim"),"Pendente","OK"))</f>
        <v/>
      </c>
    </row>
    <row r="24" customFormat="false" ht="15" hidden="false" customHeight="false" outlineLevel="0" collapsed="false">
      <c r="B24" s="26"/>
      <c r="C24" s="27"/>
      <c r="D24" s="28"/>
      <c r="E24" s="27"/>
      <c r="F24" s="29"/>
      <c r="G24" s="29"/>
      <c r="H24" s="31" t="str">
        <f aca="false">IF(F24="","",F24-N(G24))</f>
        <v/>
      </c>
      <c r="I24" s="27"/>
      <c r="J24" s="30" t="str">
        <f aca="false">IF(COUNTA(B24:G24,I24)=0,"",IF(OR(E24="",F24="",I24&lt;&gt;"Sim"),"Pendente","OK"))</f>
        <v/>
      </c>
    </row>
    <row r="25" customFormat="false" ht="15" hidden="false" customHeight="false" outlineLevel="0" collapsed="false">
      <c r="B25" s="26"/>
      <c r="C25" s="27"/>
      <c r="D25" s="28"/>
      <c r="E25" s="27"/>
      <c r="F25" s="29"/>
      <c r="G25" s="29"/>
      <c r="H25" s="31" t="str">
        <f aca="false">IF(F25="","",F25-N(G25))</f>
        <v/>
      </c>
      <c r="I25" s="27"/>
      <c r="J25" s="30" t="str">
        <f aca="false">IF(COUNTA(B25:G25,I25)=0,"",IF(OR(E25="",F25="",I25&lt;&gt;"Sim"),"Pendente","OK"))</f>
        <v/>
      </c>
    </row>
    <row r="26" customFormat="false" ht="15" hidden="false" customHeight="false" outlineLevel="0" collapsed="false">
      <c r="B26" s="26"/>
      <c r="C26" s="27"/>
      <c r="D26" s="28"/>
      <c r="E26" s="27"/>
      <c r="F26" s="29"/>
      <c r="G26" s="29"/>
      <c r="H26" s="31" t="str">
        <f aca="false">IF(F26="","",F26-N(G26))</f>
        <v/>
      </c>
      <c r="I26" s="27"/>
      <c r="J26" s="30" t="str">
        <f aca="false">IF(COUNTA(B26:G26,I26)=0,"",IF(OR(E26="",F26="",I26&lt;&gt;"Sim"),"Pendente","OK"))</f>
        <v/>
      </c>
    </row>
    <row r="27" customFormat="false" ht="15" hidden="false" customHeight="false" outlineLevel="0" collapsed="false">
      <c r="B27" s="26"/>
      <c r="C27" s="27"/>
      <c r="D27" s="28"/>
      <c r="E27" s="27"/>
      <c r="F27" s="29"/>
      <c r="G27" s="29"/>
      <c r="H27" s="31" t="str">
        <f aca="false">IF(F27="","",F27-N(G27))</f>
        <v/>
      </c>
      <c r="I27" s="27"/>
      <c r="J27" s="30" t="str">
        <f aca="false">IF(COUNTA(B27:G27,I27)=0,"",IF(OR(E27="",F27="",I27&lt;&gt;"Sim"),"Pendente","OK"))</f>
        <v/>
      </c>
    </row>
    <row r="28" customFormat="false" ht="15" hidden="false" customHeight="false" outlineLevel="0" collapsed="false">
      <c r="B28" s="26"/>
      <c r="C28" s="27"/>
      <c r="D28" s="28"/>
      <c r="E28" s="27"/>
      <c r="F28" s="29"/>
      <c r="G28" s="29"/>
      <c r="H28" s="31" t="str">
        <f aca="false">IF(F28="","",F28-N(G28))</f>
        <v/>
      </c>
      <c r="I28" s="27"/>
      <c r="J28" s="30" t="str">
        <f aca="false">IF(COUNTA(B28:G28,I28)=0,"",IF(OR(E28="",F28="",I28&lt;&gt;"Sim"),"Pendente","OK"))</f>
        <v/>
      </c>
    </row>
    <row r="29" customFormat="false" ht="15" hidden="false" customHeight="false" outlineLevel="0" collapsed="false">
      <c r="B29" s="26"/>
      <c r="C29" s="27"/>
      <c r="D29" s="28"/>
      <c r="E29" s="27"/>
      <c r="F29" s="29"/>
      <c r="G29" s="29"/>
      <c r="H29" s="31" t="str">
        <f aca="false">IF(F29="","",F29-N(G29))</f>
        <v/>
      </c>
      <c r="I29" s="27"/>
      <c r="J29" s="30" t="str">
        <f aca="false">IF(COUNTA(B29:G29,I29)=0,"",IF(OR(E29="",F29="",I29&lt;&gt;"Sim"),"Pendente","OK"))</f>
        <v/>
      </c>
    </row>
    <row r="30" customFormat="false" ht="15" hidden="false" customHeight="false" outlineLevel="0" collapsed="false">
      <c r="B30" s="26"/>
      <c r="C30" s="27"/>
      <c r="D30" s="28"/>
      <c r="E30" s="27"/>
      <c r="F30" s="29"/>
      <c r="G30" s="29"/>
      <c r="H30" s="31" t="str">
        <f aca="false">IF(F30="","",F30-N(G30))</f>
        <v/>
      </c>
      <c r="I30" s="27"/>
      <c r="J30" s="30" t="str">
        <f aca="false">IF(COUNTA(B30:G30,I30)=0,"",IF(OR(E30="",F30="",I30&lt;&gt;"Sim"),"Pendente","OK"))</f>
        <v/>
      </c>
    </row>
    <row r="31" customFormat="false" ht="15" hidden="false" customHeight="false" outlineLevel="0" collapsed="false">
      <c r="B31" s="26"/>
      <c r="C31" s="27"/>
      <c r="D31" s="28"/>
      <c r="E31" s="27"/>
      <c r="F31" s="29"/>
      <c r="G31" s="29"/>
      <c r="H31" s="31" t="str">
        <f aca="false">IF(F31="","",F31-N(G31))</f>
        <v/>
      </c>
      <c r="I31" s="27"/>
      <c r="J31" s="30" t="str">
        <f aca="false">IF(COUNTA(B31:G31,I31)=0,"",IF(OR(E31="",F31="",I31&lt;&gt;"Sim"),"Pendente","OK"))</f>
        <v/>
      </c>
    </row>
    <row r="32" customFormat="false" ht="15" hidden="false" customHeight="false" outlineLevel="0" collapsed="false">
      <c r="B32" s="26"/>
      <c r="C32" s="27"/>
      <c r="D32" s="28"/>
      <c r="E32" s="27"/>
      <c r="F32" s="29"/>
      <c r="G32" s="29"/>
      <c r="H32" s="31" t="str">
        <f aca="false">IF(F32="","",F32-N(G32))</f>
        <v/>
      </c>
      <c r="I32" s="27"/>
      <c r="J32" s="30" t="str">
        <f aca="false">IF(COUNTA(B32:G32,I32)=0,"",IF(OR(E32="",F32="",I32&lt;&gt;"Sim"),"Pendente","OK"))</f>
        <v/>
      </c>
    </row>
    <row r="33" customFormat="false" ht="15" hidden="false" customHeight="false" outlineLevel="0" collapsed="false">
      <c r="B33" s="26"/>
      <c r="C33" s="27"/>
      <c r="D33" s="28"/>
      <c r="E33" s="27"/>
      <c r="F33" s="29"/>
      <c r="G33" s="29"/>
      <c r="H33" s="31" t="str">
        <f aca="false">IF(F33="","",F33-N(G33))</f>
        <v/>
      </c>
      <c r="I33" s="27"/>
      <c r="J33" s="30" t="str">
        <f aca="false">IF(COUNTA(B33:G33,I33)=0,"",IF(OR(E33="",F33="",I33&lt;&gt;"Sim"),"Pendente","OK"))</f>
        <v/>
      </c>
    </row>
    <row r="34" customFormat="false" ht="15" hidden="false" customHeight="false" outlineLevel="0" collapsed="false">
      <c r="B34" s="26"/>
      <c r="C34" s="27"/>
      <c r="D34" s="28"/>
      <c r="E34" s="27"/>
      <c r="F34" s="29"/>
      <c r="G34" s="29"/>
      <c r="H34" s="31" t="str">
        <f aca="false">IF(F34="","",F34-N(G34))</f>
        <v/>
      </c>
      <c r="I34" s="27"/>
      <c r="J34" s="30" t="str">
        <f aca="false">IF(COUNTA(B34:G34,I34)=0,"",IF(OR(E34="",F34="",I34&lt;&gt;"Sim"),"Pendente","OK"))</f>
        <v/>
      </c>
    </row>
    <row r="35" customFormat="false" ht="15" hidden="false" customHeight="false" outlineLevel="0" collapsed="false">
      <c r="B35" s="26"/>
      <c r="C35" s="27"/>
      <c r="D35" s="28"/>
      <c r="E35" s="27"/>
      <c r="F35" s="29"/>
      <c r="G35" s="29"/>
      <c r="H35" s="31" t="str">
        <f aca="false">IF(F35="","",F35-N(G35))</f>
        <v/>
      </c>
      <c r="I35" s="27"/>
      <c r="J35" s="30" t="str">
        <f aca="false">IF(COUNTA(B35:G35,I35)=0,"",IF(OR(E35="",F35="",I35&lt;&gt;"Sim"),"Pendente","OK"))</f>
        <v/>
      </c>
    </row>
    <row r="36" customFormat="false" ht="15" hidden="false" customHeight="false" outlineLevel="0" collapsed="false">
      <c r="B36" s="26"/>
      <c r="C36" s="27"/>
      <c r="D36" s="28"/>
      <c r="E36" s="27"/>
      <c r="F36" s="29"/>
      <c r="G36" s="29"/>
      <c r="H36" s="31" t="str">
        <f aca="false">IF(F36="","",F36-N(G36))</f>
        <v/>
      </c>
      <c r="I36" s="27"/>
      <c r="J36" s="30" t="str">
        <f aca="false">IF(COUNTA(B36:G36,I36)=0,"",IF(OR(E36="",F36="",I36&lt;&gt;"Sim"),"Pendente","OK"))</f>
        <v/>
      </c>
    </row>
    <row r="37" customFormat="false" ht="15" hidden="false" customHeight="false" outlineLevel="0" collapsed="false">
      <c r="B37" s="26"/>
      <c r="C37" s="27"/>
      <c r="D37" s="28"/>
      <c r="E37" s="27"/>
      <c r="F37" s="29"/>
      <c r="G37" s="29"/>
      <c r="H37" s="31" t="str">
        <f aca="false">IF(F37="","",F37-N(G37))</f>
        <v/>
      </c>
      <c r="I37" s="27"/>
      <c r="J37" s="30" t="str">
        <f aca="false">IF(COUNTA(B37:G37,I37)=0,"",IF(OR(E37="",F37="",I37&lt;&gt;"Sim"),"Pendente","OK"))</f>
        <v/>
      </c>
    </row>
    <row r="38" customFormat="false" ht="15" hidden="false" customHeight="false" outlineLevel="0" collapsed="false">
      <c r="B38" s="26"/>
      <c r="C38" s="27"/>
      <c r="D38" s="28"/>
      <c r="E38" s="27"/>
      <c r="F38" s="29"/>
      <c r="G38" s="29"/>
      <c r="H38" s="31" t="str">
        <f aca="false">IF(F38="","",F38-N(G38))</f>
        <v/>
      </c>
      <c r="I38" s="27"/>
      <c r="J38" s="30" t="str">
        <f aca="false">IF(COUNTA(B38:G38,I38)=0,"",IF(OR(E38="",F38="",I38&lt;&gt;"Sim"),"Pendente","OK"))</f>
        <v/>
      </c>
    </row>
    <row r="39" customFormat="false" ht="15" hidden="false" customHeight="false" outlineLevel="0" collapsed="false">
      <c r="B39" s="26"/>
      <c r="C39" s="27"/>
      <c r="D39" s="28"/>
      <c r="E39" s="27"/>
      <c r="F39" s="29"/>
      <c r="G39" s="29"/>
      <c r="H39" s="31" t="str">
        <f aca="false">IF(F39="","",F39-N(G39))</f>
        <v/>
      </c>
      <c r="I39" s="27"/>
      <c r="J39" s="30" t="str">
        <f aca="false">IF(COUNTA(B39:G39,I39)=0,"",IF(OR(E39="",F39="",I39&lt;&gt;"Sim"),"Pendente","OK"))</f>
        <v/>
      </c>
    </row>
    <row r="40" customFormat="false" ht="15" hidden="false" customHeight="false" outlineLevel="0" collapsed="false">
      <c r="B40" s="26"/>
      <c r="C40" s="27"/>
      <c r="D40" s="28"/>
      <c r="E40" s="27"/>
      <c r="F40" s="29"/>
      <c r="G40" s="29"/>
      <c r="H40" s="31" t="str">
        <f aca="false">IF(F40="","",F40-N(G40))</f>
        <v/>
      </c>
      <c r="I40" s="27"/>
      <c r="J40" s="30" t="str">
        <f aca="false">IF(COUNTA(B40:G40,I40)=0,"",IF(OR(E40="",F40="",I40&lt;&gt;"Sim"),"Pendente","OK"))</f>
        <v/>
      </c>
    </row>
    <row r="41" customFormat="false" ht="15" hidden="false" customHeight="false" outlineLevel="0" collapsed="false">
      <c r="B41" s="26"/>
      <c r="C41" s="27"/>
      <c r="D41" s="28"/>
      <c r="E41" s="27"/>
      <c r="F41" s="29"/>
      <c r="G41" s="29"/>
      <c r="H41" s="31" t="str">
        <f aca="false">IF(F41="","",F41-N(G41))</f>
        <v/>
      </c>
      <c r="I41" s="27"/>
      <c r="J41" s="30" t="str">
        <f aca="false">IF(COUNTA(B41:G41,I41)=0,"",IF(OR(E41="",F41="",I41&lt;&gt;"Sim"),"Pendente","OK"))</f>
        <v/>
      </c>
    </row>
    <row r="42" customFormat="false" ht="15" hidden="false" customHeight="false" outlineLevel="0" collapsed="false">
      <c r="B42" s="26"/>
      <c r="C42" s="27"/>
      <c r="D42" s="28"/>
      <c r="E42" s="27"/>
      <c r="F42" s="29"/>
      <c r="G42" s="29"/>
      <c r="H42" s="31" t="str">
        <f aca="false">IF(F42="","",F42-N(G42))</f>
        <v/>
      </c>
      <c r="I42" s="27"/>
      <c r="J42" s="30" t="str">
        <f aca="false">IF(COUNTA(B42:G42,I42)=0,"",IF(OR(E42="",F42="",I42&lt;&gt;"Sim"),"Pendente","OK"))</f>
        <v/>
      </c>
    </row>
    <row r="43" customFormat="false" ht="15" hidden="false" customHeight="false" outlineLevel="0" collapsed="false">
      <c r="B43" s="26"/>
      <c r="C43" s="27"/>
      <c r="D43" s="28"/>
      <c r="E43" s="27"/>
      <c r="F43" s="29"/>
      <c r="G43" s="29"/>
      <c r="H43" s="31" t="str">
        <f aca="false">IF(F43="","",F43-N(G43))</f>
        <v/>
      </c>
      <c r="I43" s="27"/>
      <c r="J43" s="30" t="str">
        <f aca="false">IF(COUNTA(B43:G43,I43)=0,"",IF(OR(E43="",F43="",I43&lt;&gt;"Sim"),"Pendente","OK"))</f>
        <v/>
      </c>
    </row>
    <row r="44" customFormat="false" ht="15" hidden="false" customHeight="false" outlineLevel="0" collapsed="false">
      <c r="B44" s="26"/>
      <c r="C44" s="27"/>
      <c r="D44" s="28"/>
      <c r="E44" s="27"/>
      <c r="F44" s="29"/>
      <c r="G44" s="29"/>
      <c r="H44" s="31" t="str">
        <f aca="false">IF(F44="","",F44-N(G44))</f>
        <v/>
      </c>
      <c r="I44" s="27"/>
      <c r="J44" s="30" t="str">
        <f aca="false">IF(COUNTA(B44:G44,I44)=0,"",IF(OR(E44="",F44="",I44&lt;&gt;"Sim"),"Pendente","OK"))</f>
        <v/>
      </c>
    </row>
    <row r="45" customFormat="false" ht="15" hidden="false" customHeight="false" outlineLevel="0" collapsed="false">
      <c r="B45" s="26"/>
      <c r="C45" s="27"/>
      <c r="D45" s="28"/>
      <c r="E45" s="27"/>
      <c r="F45" s="29"/>
      <c r="G45" s="29"/>
      <c r="H45" s="31" t="str">
        <f aca="false">IF(F45="","",F45-N(G45))</f>
        <v/>
      </c>
      <c r="I45" s="27"/>
      <c r="J45" s="30" t="str">
        <f aca="false">IF(COUNTA(B45:G45,I45)=0,"",IF(OR(E45="",F45="",I45&lt;&gt;"Sim"),"Pendente","OK"))</f>
        <v/>
      </c>
    </row>
    <row r="46" customFormat="false" ht="15" hidden="false" customHeight="false" outlineLevel="0" collapsed="false">
      <c r="B46" s="26"/>
      <c r="C46" s="27"/>
      <c r="D46" s="28"/>
      <c r="E46" s="27"/>
      <c r="F46" s="29"/>
      <c r="G46" s="29"/>
      <c r="H46" s="31" t="str">
        <f aca="false">IF(F46="","",F46-N(G46))</f>
        <v/>
      </c>
      <c r="I46" s="27"/>
      <c r="J46" s="30" t="str">
        <f aca="false">IF(COUNTA(B46:G46,I46)=0,"",IF(OR(E46="",F46="",I46&lt;&gt;"Sim"),"Pendente","OK"))</f>
        <v/>
      </c>
    </row>
    <row r="47" customFormat="false" ht="15" hidden="false" customHeight="false" outlineLevel="0" collapsed="false">
      <c r="B47" s="26"/>
      <c r="C47" s="27"/>
      <c r="D47" s="28"/>
      <c r="E47" s="27"/>
      <c r="F47" s="29"/>
      <c r="G47" s="29"/>
      <c r="H47" s="31" t="str">
        <f aca="false">IF(F47="","",F47-N(G47))</f>
        <v/>
      </c>
      <c r="I47" s="27"/>
      <c r="J47" s="30" t="str">
        <f aca="false">IF(COUNTA(B47:G47,I47)=0,"",IF(OR(E47="",F47="",I47&lt;&gt;"Sim"),"Pendente","OK"))</f>
        <v/>
      </c>
    </row>
    <row r="48" customFormat="false" ht="15" hidden="false" customHeight="false" outlineLevel="0" collapsed="false">
      <c r="B48" s="26"/>
      <c r="C48" s="27"/>
      <c r="D48" s="28"/>
      <c r="E48" s="27"/>
      <c r="F48" s="29"/>
      <c r="G48" s="29"/>
      <c r="H48" s="31" t="str">
        <f aca="false">IF(F48="","",F48-N(G48))</f>
        <v/>
      </c>
      <c r="I48" s="27"/>
      <c r="J48" s="30" t="str">
        <f aca="false">IF(COUNTA(B48:G48,I48)=0,"",IF(OR(E48="",F48="",I48&lt;&gt;"Sim"),"Pendente","OK"))</f>
        <v/>
      </c>
    </row>
    <row r="49" customFormat="false" ht="15" hidden="false" customHeight="false" outlineLevel="0" collapsed="false">
      <c r="B49" s="26"/>
      <c r="C49" s="27"/>
      <c r="D49" s="28"/>
      <c r="E49" s="27"/>
      <c r="F49" s="29"/>
      <c r="G49" s="29"/>
      <c r="H49" s="31" t="str">
        <f aca="false">IF(F49="","",F49-N(G49))</f>
        <v/>
      </c>
      <c r="I49" s="27"/>
      <c r="J49" s="30" t="str">
        <f aca="false">IF(COUNTA(B49:G49,I49)=0,"",IF(OR(E49="",F49="",I49&lt;&gt;"Sim"),"Pendente","OK"))</f>
        <v/>
      </c>
    </row>
    <row r="50" customFormat="false" ht="15" hidden="false" customHeight="false" outlineLevel="0" collapsed="false">
      <c r="B50" s="26"/>
      <c r="C50" s="27"/>
      <c r="D50" s="28"/>
      <c r="E50" s="27"/>
      <c r="F50" s="29"/>
      <c r="G50" s="29"/>
      <c r="H50" s="31" t="str">
        <f aca="false">IF(F50="","",F50-N(G50))</f>
        <v/>
      </c>
      <c r="I50" s="27"/>
      <c r="J50" s="30" t="str">
        <f aca="false">IF(COUNTA(B50:G50,I50)=0,"",IF(OR(E50="",F50="",I50&lt;&gt;"Sim"),"Pendente","OK"))</f>
        <v/>
      </c>
    </row>
    <row r="51" customFormat="false" ht="15" hidden="false" customHeight="false" outlineLevel="0" collapsed="false">
      <c r="B51" s="26"/>
      <c r="C51" s="27"/>
      <c r="D51" s="28"/>
      <c r="E51" s="27"/>
      <c r="F51" s="29"/>
      <c r="G51" s="29"/>
      <c r="H51" s="31" t="str">
        <f aca="false">IF(F51="","",F51-N(G51))</f>
        <v/>
      </c>
      <c r="I51" s="27"/>
      <c r="J51" s="30" t="str">
        <f aca="false">IF(COUNTA(B51:G51,I51)=0,"",IF(OR(E51="",F51="",I51&lt;&gt;"Sim"),"Pendente","OK"))</f>
        <v/>
      </c>
    </row>
    <row r="52" customFormat="false" ht="15" hidden="false" customHeight="false" outlineLevel="0" collapsed="false">
      <c r="B52" s="26"/>
      <c r="C52" s="27"/>
      <c r="D52" s="28"/>
      <c r="E52" s="27"/>
      <c r="F52" s="29"/>
      <c r="G52" s="29"/>
      <c r="H52" s="31" t="str">
        <f aca="false">IF(F52="","",F52-N(G52))</f>
        <v/>
      </c>
      <c r="I52" s="27"/>
      <c r="J52" s="30" t="str">
        <f aca="false">IF(COUNTA(B52:G52,I52)=0,"",IF(OR(E52="",F52="",I52&lt;&gt;"Sim"),"Pendente","OK"))</f>
        <v/>
      </c>
    </row>
    <row r="53" customFormat="false" ht="15" hidden="false" customHeight="false" outlineLevel="0" collapsed="false">
      <c r="B53" s="26"/>
      <c r="C53" s="27"/>
      <c r="D53" s="28"/>
      <c r="E53" s="27"/>
      <c r="F53" s="29"/>
      <c r="G53" s="29"/>
      <c r="H53" s="31" t="str">
        <f aca="false">IF(F53="","",F53-N(G53))</f>
        <v/>
      </c>
      <c r="I53" s="27"/>
      <c r="J53" s="30" t="str">
        <f aca="false">IF(COUNTA(B53:G53,I53)=0,"",IF(OR(E53="",F53="",I53&lt;&gt;"Sim"),"Pendente","OK"))</f>
        <v/>
      </c>
    </row>
    <row r="54" customFormat="false" ht="15" hidden="false" customHeight="false" outlineLevel="0" collapsed="false">
      <c r="B54" s="26"/>
      <c r="C54" s="27"/>
      <c r="D54" s="28"/>
      <c r="E54" s="27"/>
      <c r="F54" s="29"/>
      <c r="G54" s="29"/>
      <c r="H54" s="31" t="str">
        <f aca="false">IF(F54="","",F54-N(G54))</f>
        <v/>
      </c>
      <c r="I54" s="27"/>
      <c r="J54" s="30" t="str">
        <f aca="false">IF(COUNTA(B54:G54,I54)=0,"",IF(OR(E54="",F54="",I54&lt;&gt;"Sim"),"Pendente","OK"))</f>
        <v/>
      </c>
    </row>
    <row r="55" customFormat="false" ht="15" hidden="false" customHeight="false" outlineLevel="0" collapsed="false">
      <c r="B55" s="26"/>
      <c r="C55" s="27"/>
      <c r="D55" s="28"/>
      <c r="E55" s="27"/>
      <c r="F55" s="29"/>
      <c r="G55" s="29"/>
      <c r="H55" s="31" t="str">
        <f aca="false">IF(F55="","",F55-N(G55))</f>
        <v/>
      </c>
      <c r="I55" s="27"/>
      <c r="J55" s="30" t="str">
        <f aca="false">IF(COUNTA(B55:G55,I55)=0,"",IF(OR(E55="",F55="",I55&lt;&gt;"Sim"),"Pendente","OK"))</f>
        <v/>
      </c>
    </row>
    <row r="56" customFormat="false" ht="15" hidden="false" customHeight="false" outlineLevel="0" collapsed="false">
      <c r="B56" s="26"/>
      <c r="C56" s="27"/>
      <c r="D56" s="28"/>
      <c r="E56" s="27"/>
      <c r="F56" s="29"/>
      <c r="G56" s="29"/>
      <c r="H56" s="31" t="str">
        <f aca="false">IF(F56="","",F56-N(G56))</f>
        <v/>
      </c>
      <c r="I56" s="27"/>
      <c r="J56" s="30" t="str">
        <f aca="false">IF(COUNTA(B56:G56,I56)=0,"",IF(OR(E56="",F56="",I56&lt;&gt;"Sim"),"Pendente","OK"))</f>
        <v/>
      </c>
    </row>
    <row r="57" customFormat="false" ht="15" hidden="false" customHeight="false" outlineLevel="0" collapsed="false">
      <c r="B57" s="26"/>
      <c r="C57" s="27"/>
      <c r="D57" s="28"/>
      <c r="E57" s="27"/>
      <c r="F57" s="29"/>
      <c r="G57" s="29"/>
      <c r="H57" s="31" t="str">
        <f aca="false">IF(F57="","",F57-N(G57))</f>
        <v/>
      </c>
      <c r="I57" s="27"/>
      <c r="J57" s="30" t="str">
        <f aca="false">IF(COUNTA(B57:G57,I57)=0,"",IF(OR(E57="",F57="",I57&lt;&gt;"Sim"),"Pendente","OK"))</f>
        <v/>
      </c>
    </row>
    <row r="58" customFormat="false" ht="15" hidden="false" customHeight="false" outlineLevel="0" collapsed="false">
      <c r="B58" s="26"/>
      <c r="C58" s="27"/>
      <c r="D58" s="28"/>
      <c r="E58" s="27"/>
      <c r="F58" s="29"/>
      <c r="G58" s="29"/>
      <c r="H58" s="31" t="str">
        <f aca="false">IF(F58="","",F58-N(G58))</f>
        <v/>
      </c>
      <c r="I58" s="27"/>
      <c r="J58" s="30" t="str">
        <f aca="false">IF(COUNTA(B58:G58,I58)=0,"",IF(OR(E58="",F58="",I58&lt;&gt;"Sim"),"Pendente","OK"))</f>
        <v/>
      </c>
    </row>
    <row r="59" customFormat="false" ht="15" hidden="false" customHeight="false" outlineLevel="0" collapsed="false">
      <c r="B59" s="26"/>
      <c r="C59" s="27"/>
      <c r="D59" s="28"/>
      <c r="E59" s="27"/>
      <c r="F59" s="29"/>
      <c r="G59" s="29"/>
      <c r="H59" s="31" t="str">
        <f aca="false">IF(F59="","",F59-N(G59))</f>
        <v/>
      </c>
      <c r="I59" s="27"/>
      <c r="J59" s="30" t="str">
        <f aca="false">IF(COUNTA(B59:G59,I59)=0,"",IF(OR(E59="",F59="",I59&lt;&gt;"Sim"),"Pendente","OK"))</f>
        <v/>
      </c>
    </row>
    <row r="60" customFormat="false" ht="15" hidden="false" customHeight="false" outlineLevel="0" collapsed="false">
      <c r="B60" s="26"/>
      <c r="C60" s="27"/>
      <c r="D60" s="28"/>
      <c r="E60" s="27"/>
      <c r="F60" s="29"/>
      <c r="G60" s="29"/>
      <c r="H60" s="31" t="str">
        <f aca="false">IF(F60="","",F60-N(G60))</f>
        <v/>
      </c>
      <c r="I60" s="27"/>
      <c r="J60" s="30" t="str">
        <f aca="false">IF(COUNTA(B60:G60,I60)=0,"",IF(OR(E60="",F60="",I60&lt;&gt;"Sim"),"Pendente","OK"))</f>
        <v/>
      </c>
    </row>
    <row r="61" customFormat="false" ht="15" hidden="false" customHeight="false" outlineLevel="0" collapsed="false">
      <c r="B61" s="26"/>
      <c r="C61" s="27"/>
      <c r="D61" s="28"/>
      <c r="E61" s="27"/>
      <c r="F61" s="29"/>
      <c r="G61" s="29"/>
      <c r="H61" s="31" t="str">
        <f aca="false">IF(F61="","",F61-N(G61))</f>
        <v/>
      </c>
      <c r="I61" s="27"/>
      <c r="J61" s="30" t="str">
        <f aca="false">IF(COUNTA(B61:G61,I61)=0,"",IF(OR(E61="",F61="",I61&lt;&gt;"Sim"),"Pendente","OK"))</f>
        <v/>
      </c>
    </row>
    <row r="62" customFormat="false" ht="15" hidden="false" customHeight="false" outlineLevel="0" collapsed="false">
      <c r="B62" s="26"/>
      <c r="C62" s="27"/>
      <c r="D62" s="28"/>
      <c r="E62" s="27"/>
      <c r="F62" s="29"/>
      <c r="G62" s="29"/>
      <c r="H62" s="31" t="str">
        <f aca="false">IF(F62="","",F62-N(G62))</f>
        <v/>
      </c>
      <c r="I62" s="27"/>
      <c r="J62" s="30" t="str">
        <f aca="false">IF(COUNTA(B62:G62,I62)=0,"",IF(OR(E62="",F62="",I62&lt;&gt;"Sim"),"Pendente","OK"))</f>
        <v/>
      </c>
    </row>
    <row r="63" customFormat="false" ht="15" hidden="false" customHeight="false" outlineLevel="0" collapsed="false">
      <c r="B63" s="26"/>
      <c r="C63" s="27"/>
      <c r="D63" s="28"/>
      <c r="E63" s="27"/>
      <c r="F63" s="29"/>
      <c r="G63" s="29"/>
      <c r="H63" s="31" t="str">
        <f aca="false">IF(F63="","",F63-N(G63))</f>
        <v/>
      </c>
      <c r="I63" s="27"/>
      <c r="J63" s="30" t="str">
        <f aca="false">IF(COUNTA(B63:G63,I63)=0,"",IF(OR(E63="",F63="",I63&lt;&gt;"Sim"),"Pendente","OK"))</f>
        <v/>
      </c>
    </row>
    <row r="64" customFormat="false" ht="15" hidden="false" customHeight="false" outlineLevel="0" collapsed="false">
      <c r="B64" s="26"/>
      <c r="C64" s="27"/>
      <c r="D64" s="28"/>
      <c r="E64" s="27"/>
      <c r="F64" s="29"/>
      <c r="G64" s="29"/>
      <c r="H64" s="31" t="str">
        <f aca="false">IF(F64="","",F64-N(G64))</f>
        <v/>
      </c>
      <c r="I64" s="27"/>
      <c r="J64" s="30" t="str">
        <f aca="false">IF(COUNTA(B64:G64,I64)=0,"",IF(OR(E64="",F64="",I64&lt;&gt;"Sim"),"Pendente","OK"))</f>
        <v/>
      </c>
    </row>
    <row r="65" customFormat="false" ht="15" hidden="false" customHeight="false" outlineLevel="0" collapsed="false">
      <c r="B65" s="26"/>
      <c r="C65" s="27"/>
      <c r="D65" s="28"/>
      <c r="E65" s="27"/>
      <c r="F65" s="29"/>
      <c r="G65" s="29"/>
      <c r="H65" s="31" t="str">
        <f aca="false">IF(F65="","",F65-N(G65))</f>
        <v/>
      </c>
      <c r="I65" s="27"/>
      <c r="J65" s="30" t="str">
        <f aca="false">IF(COUNTA(B65:G65,I65)=0,"",IF(OR(E65="",F65="",I65&lt;&gt;"Sim"),"Pendente","OK"))</f>
        <v/>
      </c>
    </row>
    <row r="66" customFormat="false" ht="15" hidden="false" customHeight="false" outlineLevel="0" collapsed="false">
      <c r="B66" s="26"/>
      <c r="C66" s="27"/>
      <c r="D66" s="28"/>
      <c r="E66" s="27"/>
      <c r="F66" s="29"/>
      <c r="G66" s="29"/>
      <c r="H66" s="31" t="str">
        <f aca="false">IF(F66="","",F66-N(G66))</f>
        <v/>
      </c>
      <c r="I66" s="27"/>
      <c r="J66" s="30" t="str">
        <f aca="false">IF(COUNTA(B66:G66,I66)=0,"",IF(OR(E66="",F66="",I66&lt;&gt;"Sim"),"Pendente","OK"))</f>
        <v/>
      </c>
    </row>
    <row r="67" customFormat="false" ht="15" hidden="false" customHeight="false" outlineLevel="0" collapsed="false">
      <c r="B67" s="26"/>
      <c r="C67" s="27"/>
      <c r="D67" s="28"/>
      <c r="E67" s="27"/>
      <c r="F67" s="29"/>
      <c r="G67" s="29"/>
      <c r="H67" s="31" t="str">
        <f aca="false">IF(F67="","",F67-N(G67))</f>
        <v/>
      </c>
      <c r="I67" s="27"/>
      <c r="J67" s="30" t="str">
        <f aca="false">IF(COUNTA(B67:G67,I67)=0,"",IF(OR(E67="",F67="",I67&lt;&gt;"Sim"),"Pendente","OK"))</f>
        <v/>
      </c>
    </row>
    <row r="68" customFormat="false" ht="15" hidden="false" customHeight="false" outlineLevel="0" collapsed="false">
      <c r="B68" s="26"/>
      <c r="C68" s="27"/>
      <c r="D68" s="28"/>
      <c r="E68" s="27"/>
      <c r="F68" s="29"/>
      <c r="G68" s="29"/>
      <c r="H68" s="31" t="str">
        <f aca="false">IF(F68="","",F68-N(G68))</f>
        <v/>
      </c>
      <c r="I68" s="27"/>
      <c r="J68" s="30" t="str">
        <f aca="false">IF(COUNTA(B68:G68,I68)=0,"",IF(OR(E68="",F68="",I68&lt;&gt;"Sim"),"Pendente","OK"))</f>
        <v/>
      </c>
    </row>
    <row r="69" customFormat="false" ht="15" hidden="false" customHeight="false" outlineLevel="0" collapsed="false">
      <c r="B69" s="26"/>
      <c r="C69" s="27"/>
      <c r="D69" s="28"/>
      <c r="E69" s="27"/>
      <c r="F69" s="29"/>
      <c r="G69" s="29"/>
      <c r="H69" s="31" t="str">
        <f aca="false">IF(F69="","",F69-N(G69))</f>
        <v/>
      </c>
      <c r="I69" s="27"/>
      <c r="J69" s="30" t="str">
        <f aca="false">IF(COUNTA(B69:G69,I69)=0,"",IF(OR(E69="",F69="",I69&lt;&gt;"Sim"),"Pendente","OK"))</f>
        <v/>
      </c>
    </row>
    <row r="70" customFormat="false" ht="15" hidden="false" customHeight="false" outlineLevel="0" collapsed="false">
      <c r="B70" s="26"/>
      <c r="C70" s="27"/>
      <c r="D70" s="28"/>
      <c r="E70" s="27"/>
      <c r="F70" s="29"/>
      <c r="G70" s="29"/>
      <c r="H70" s="31" t="str">
        <f aca="false">IF(F70="","",F70-N(G70))</f>
        <v/>
      </c>
      <c r="I70" s="27"/>
      <c r="J70" s="30" t="str">
        <f aca="false">IF(COUNTA(B70:G70,I70)=0,"",IF(OR(E70="",F70="",I70&lt;&gt;"Sim"),"Pendente","OK"))</f>
        <v/>
      </c>
    </row>
    <row r="71" customFormat="false" ht="15" hidden="false" customHeight="false" outlineLevel="0" collapsed="false">
      <c r="B71" s="26"/>
      <c r="C71" s="27"/>
      <c r="D71" s="28"/>
      <c r="E71" s="27"/>
      <c r="F71" s="29"/>
      <c r="G71" s="29"/>
      <c r="H71" s="31" t="str">
        <f aca="false">IF(F71="","",F71-N(G71))</f>
        <v/>
      </c>
      <c r="I71" s="27"/>
      <c r="J71" s="30" t="str">
        <f aca="false">IF(COUNTA(B71:G71,I71)=0,"",IF(OR(E71="",F71="",I71&lt;&gt;"Sim"),"Pendente","OK"))</f>
        <v/>
      </c>
    </row>
    <row r="72" customFormat="false" ht="15" hidden="false" customHeight="false" outlineLevel="0" collapsed="false">
      <c r="B72" s="26"/>
      <c r="C72" s="27"/>
      <c r="D72" s="28"/>
      <c r="E72" s="27"/>
      <c r="F72" s="29"/>
      <c r="G72" s="29"/>
      <c r="H72" s="31" t="str">
        <f aca="false">IF(F72="","",F72-N(G72))</f>
        <v/>
      </c>
      <c r="I72" s="27"/>
      <c r="J72" s="30" t="str">
        <f aca="false">IF(COUNTA(B72:G72,I72)=0,"",IF(OR(E72="",F72="",I72&lt;&gt;"Sim"),"Pendente","OK"))</f>
        <v/>
      </c>
    </row>
    <row r="73" customFormat="false" ht="15" hidden="false" customHeight="false" outlineLevel="0" collapsed="false">
      <c r="B73" s="26"/>
      <c r="C73" s="27"/>
      <c r="D73" s="28"/>
      <c r="E73" s="27"/>
      <c r="F73" s="29"/>
      <c r="G73" s="29"/>
      <c r="H73" s="31" t="str">
        <f aca="false">IF(F73="","",F73-N(G73))</f>
        <v/>
      </c>
      <c r="I73" s="27"/>
      <c r="J73" s="30" t="str">
        <f aca="false">IF(COUNTA(B73:G73,I73)=0,"",IF(OR(E73="",F73="",I73&lt;&gt;"Sim"),"Pendente","OK"))</f>
        <v/>
      </c>
    </row>
    <row r="74" customFormat="false" ht="15" hidden="false" customHeight="false" outlineLevel="0" collapsed="false">
      <c r="B74" s="26"/>
      <c r="C74" s="27"/>
      <c r="D74" s="28"/>
      <c r="E74" s="27"/>
      <c r="F74" s="29"/>
      <c r="G74" s="29"/>
      <c r="H74" s="31" t="str">
        <f aca="false">IF(F74="","",F74-N(G74))</f>
        <v/>
      </c>
      <c r="I74" s="27"/>
      <c r="J74" s="30" t="str">
        <f aca="false">IF(COUNTA(B74:G74,I74)=0,"",IF(OR(E74="",F74="",I74&lt;&gt;"Sim"),"Pendente","OK"))</f>
        <v/>
      </c>
    </row>
    <row r="75" customFormat="false" ht="15" hidden="false" customHeight="false" outlineLevel="0" collapsed="false">
      <c r="B75" s="26"/>
      <c r="C75" s="27"/>
      <c r="D75" s="28"/>
      <c r="E75" s="27"/>
      <c r="F75" s="29"/>
      <c r="G75" s="29"/>
      <c r="H75" s="31" t="str">
        <f aca="false">IF(F75="","",F75-N(G75))</f>
        <v/>
      </c>
      <c r="I75" s="27"/>
      <c r="J75" s="30" t="str">
        <f aca="false">IF(COUNTA(B75:G75,I75)=0,"",IF(OR(E75="",F75="",I75&lt;&gt;"Sim"),"Pendente","OK"))</f>
        <v/>
      </c>
    </row>
    <row r="76" customFormat="false" ht="15" hidden="false" customHeight="false" outlineLevel="0" collapsed="false">
      <c r="B76" s="26"/>
      <c r="C76" s="27"/>
      <c r="D76" s="28"/>
      <c r="E76" s="27"/>
      <c r="F76" s="29"/>
      <c r="G76" s="29"/>
      <c r="H76" s="31" t="str">
        <f aca="false">IF(F76="","",F76-N(G76))</f>
        <v/>
      </c>
      <c r="I76" s="27"/>
      <c r="J76" s="30" t="str">
        <f aca="false">IF(COUNTA(B76:G76,I76)=0,"",IF(OR(E76="",F76="",I76&lt;&gt;"Sim"),"Pendente","OK"))</f>
        <v/>
      </c>
    </row>
    <row r="77" customFormat="false" ht="15" hidden="false" customHeight="false" outlineLevel="0" collapsed="false">
      <c r="B77" s="26"/>
      <c r="C77" s="27"/>
      <c r="D77" s="28"/>
      <c r="E77" s="27"/>
      <c r="F77" s="29"/>
      <c r="G77" s="29"/>
      <c r="H77" s="31" t="str">
        <f aca="false">IF(F77="","",F77-N(G77))</f>
        <v/>
      </c>
      <c r="I77" s="27"/>
      <c r="J77" s="30" t="str">
        <f aca="false">IF(COUNTA(B77:G77,I77)=0,"",IF(OR(E77="",F77="",I77&lt;&gt;"Sim"),"Pendente","OK"))</f>
        <v/>
      </c>
    </row>
    <row r="78" customFormat="false" ht="15" hidden="false" customHeight="false" outlineLevel="0" collapsed="false">
      <c r="B78" s="26"/>
      <c r="C78" s="27"/>
      <c r="D78" s="28"/>
      <c r="E78" s="27"/>
      <c r="F78" s="29"/>
      <c r="G78" s="29"/>
      <c r="H78" s="31" t="str">
        <f aca="false">IF(F78="","",F78-N(G78))</f>
        <v/>
      </c>
      <c r="I78" s="27"/>
      <c r="J78" s="30" t="str">
        <f aca="false">IF(COUNTA(B78:G78,I78)=0,"",IF(OR(E78="",F78="",I78&lt;&gt;"Sim"),"Pendente","OK"))</f>
        <v/>
      </c>
    </row>
    <row r="79" customFormat="false" ht="15" hidden="false" customHeight="false" outlineLevel="0" collapsed="false">
      <c r="B79" s="26"/>
      <c r="C79" s="27"/>
      <c r="D79" s="28"/>
      <c r="E79" s="27"/>
      <c r="F79" s="29"/>
      <c r="G79" s="29"/>
      <c r="H79" s="31" t="str">
        <f aca="false">IF(F79="","",F79-N(G79))</f>
        <v/>
      </c>
      <c r="I79" s="27"/>
      <c r="J79" s="30" t="str">
        <f aca="false">IF(COUNTA(B79:G79,I79)=0,"",IF(OR(E79="",F79="",I79&lt;&gt;"Sim"),"Pendente","OK"))</f>
        <v/>
      </c>
    </row>
    <row r="80" customFormat="false" ht="15" hidden="false" customHeight="false" outlineLevel="0" collapsed="false">
      <c r="B80" s="26"/>
      <c r="C80" s="27"/>
      <c r="D80" s="28"/>
      <c r="E80" s="27"/>
      <c r="F80" s="29"/>
      <c r="G80" s="29"/>
      <c r="H80" s="31" t="str">
        <f aca="false">IF(F80="","",F80-N(G80))</f>
        <v/>
      </c>
      <c r="I80" s="27"/>
      <c r="J80" s="30" t="str">
        <f aca="false">IF(COUNTA(B80:G80,I80)=0,"",IF(OR(E80="",F80="",I80&lt;&gt;"Sim"),"Pendente","OK"))</f>
        <v/>
      </c>
    </row>
    <row r="81" customFormat="false" ht="15" hidden="false" customHeight="false" outlineLevel="0" collapsed="false">
      <c r="B81" s="26"/>
      <c r="C81" s="27"/>
      <c r="D81" s="28"/>
      <c r="E81" s="27"/>
      <c r="F81" s="29"/>
      <c r="G81" s="29"/>
      <c r="H81" s="31" t="str">
        <f aca="false">IF(F81="","",F81-N(G81))</f>
        <v/>
      </c>
      <c r="I81" s="27"/>
      <c r="J81" s="30" t="str">
        <f aca="false">IF(COUNTA(B81:G81,I81)=0,"",IF(OR(E81="",F81="",I81&lt;&gt;"Sim"),"Pendente","OK"))</f>
        <v/>
      </c>
    </row>
    <row r="82" customFormat="false" ht="15" hidden="false" customHeight="false" outlineLevel="0" collapsed="false">
      <c r="B82" s="26"/>
      <c r="C82" s="27"/>
      <c r="D82" s="28"/>
      <c r="E82" s="27"/>
      <c r="F82" s="29"/>
      <c r="G82" s="29"/>
      <c r="H82" s="31" t="str">
        <f aca="false">IF(F82="","",F82-N(G82))</f>
        <v/>
      </c>
      <c r="I82" s="27"/>
      <c r="J82" s="30" t="str">
        <f aca="false">IF(COUNTA(B82:G82,I82)=0,"",IF(OR(E82="",F82="",I82&lt;&gt;"Sim"),"Pendente","OK"))</f>
        <v/>
      </c>
    </row>
    <row r="83" customFormat="false" ht="15" hidden="false" customHeight="false" outlineLevel="0" collapsed="false">
      <c r="B83" s="26"/>
      <c r="C83" s="27"/>
      <c r="D83" s="28"/>
      <c r="E83" s="27"/>
      <c r="F83" s="29"/>
      <c r="G83" s="29"/>
      <c r="H83" s="31" t="str">
        <f aca="false">IF(F83="","",F83-N(G83))</f>
        <v/>
      </c>
      <c r="I83" s="27"/>
      <c r="J83" s="30" t="str">
        <f aca="false">IF(COUNTA(B83:G83,I83)=0,"",IF(OR(E83="",F83="",I83&lt;&gt;"Sim"),"Pendente","OK"))</f>
        <v/>
      </c>
    </row>
    <row r="84" customFormat="false" ht="15" hidden="false" customHeight="false" outlineLevel="0" collapsed="false">
      <c r="B84" s="26"/>
      <c r="C84" s="27"/>
      <c r="D84" s="28"/>
      <c r="E84" s="27"/>
      <c r="F84" s="29"/>
      <c r="G84" s="29"/>
      <c r="H84" s="31" t="str">
        <f aca="false">IF(F84="","",F84-N(G84))</f>
        <v/>
      </c>
      <c r="I84" s="27"/>
      <c r="J84" s="30" t="str">
        <f aca="false">IF(COUNTA(B84:G84,I84)=0,"",IF(OR(E84="",F84="",I84&lt;&gt;"Sim"),"Pendente","OK"))</f>
        <v/>
      </c>
    </row>
    <row r="85" customFormat="false" ht="15" hidden="false" customHeight="false" outlineLevel="0" collapsed="false">
      <c r="B85" s="26"/>
      <c r="C85" s="27"/>
      <c r="D85" s="28"/>
      <c r="E85" s="27"/>
      <c r="F85" s="29"/>
      <c r="G85" s="29"/>
      <c r="H85" s="31" t="str">
        <f aca="false">IF(F85="","",F85-N(G85))</f>
        <v/>
      </c>
      <c r="I85" s="27"/>
      <c r="J85" s="30" t="str">
        <f aca="false">IF(COUNTA(B85:G85,I85)=0,"",IF(OR(E85="",F85="",I85&lt;&gt;"Sim"),"Pendente","OK"))</f>
        <v/>
      </c>
    </row>
    <row r="86" customFormat="false" ht="15" hidden="false" customHeight="false" outlineLevel="0" collapsed="false">
      <c r="B86" s="26"/>
      <c r="C86" s="27"/>
      <c r="D86" s="28"/>
      <c r="E86" s="27"/>
      <c r="F86" s="29"/>
      <c r="G86" s="29"/>
      <c r="H86" s="31" t="str">
        <f aca="false">IF(F86="","",F86-N(G86))</f>
        <v/>
      </c>
      <c r="I86" s="27"/>
      <c r="J86" s="30" t="str">
        <f aca="false">IF(COUNTA(B86:G86,I86)=0,"",IF(OR(E86="",F86="",I86&lt;&gt;"Sim"),"Pendente","OK"))</f>
        <v/>
      </c>
    </row>
    <row r="87" customFormat="false" ht="15" hidden="false" customHeight="false" outlineLevel="0" collapsed="false">
      <c r="B87" s="26"/>
      <c r="C87" s="27"/>
      <c r="D87" s="28"/>
      <c r="E87" s="27"/>
      <c r="F87" s="29"/>
      <c r="G87" s="29"/>
      <c r="H87" s="31" t="str">
        <f aca="false">IF(F87="","",F87-N(G87))</f>
        <v/>
      </c>
      <c r="I87" s="27"/>
      <c r="J87" s="30" t="str">
        <f aca="false">IF(COUNTA(B87:G87,I87)=0,"",IF(OR(E87="",F87="",I87&lt;&gt;"Sim"),"Pendente","OK"))</f>
        <v/>
      </c>
    </row>
    <row r="88" customFormat="false" ht="15" hidden="false" customHeight="false" outlineLevel="0" collapsed="false">
      <c r="B88" s="26"/>
      <c r="C88" s="27"/>
      <c r="D88" s="28"/>
      <c r="E88" s="27"/>
      <c r="F88" s="29"/>
      <c r="G88" s="29"/>
      <c r="H88" s="31" t="str">
        <f aca="false">IF(F88="","",F88-N(G88))</f>
        <v/>
      </c>
      <c r="I88" s="27"/>
      <c r="J88" s="30" t="str">
        <f aca="false">IF(COUNTA(B88:G88,I88)=0,"",IF(OR(E88="",F88="",I88&lt;&gt;"Sim"),"Pendente","OK"))</f>
        <v/>
      </c>
    </row>
    <row r="89" customFormat="false" ht="15" hidden="false" customHeight="false" outlineLevel="0" collapsed="false">
      <c r="B89" s="26"/>
      <c r="C89" s="27"/>
      <c r="D89" s="28"/>
      <c r="E89" s="27"/>
      <c r="F89" s="29"/>
      <c r="G89" s="29"/>
      <c r="H89" s="31" t="str">
        <f aca="false">IF(F89="","",F89-N(G89))</f>
        <v/>
      </c>
      <c r="I89" s="27"/>
      <c r="J89" s="30" t="str">
        <f aca="false">IF(COUNTA(B89:G89,I89)=0,"",IF(OR(E89="",F89="",I89&lt;&gt;"Sim"),"Pendente","OK"))</f>
        <v/>
      </c>
    </row>
    <row r="90" customFormat="false" ht="15" hidden="false" customHeight="false" outlineLevel="0" collapsed="false">
      <c r="B90" s="26"/>
      <c r="C90" s="27"/>
      <c r="D90" s="28"/>
      <c r="E90" s="27"/>
      <c r="F90" s="29"/>
      <c r="G90" s="29"/>
      <c r="H90" s="31" t="str">
        <f aca="false">IF(F90="","",F90-N(G90))</f>
        <v/>
      </c>
      <c r="I90" s="27"/>
      <c r="J90" s="30" t="str">
        <f aca="false">IF(COUNTA(B90:G90,I90)=0,"",IF(OR(E90="",F90="",I90&lt;&gt;"Sim"),"Pendente","OK"))</f>
        <v/>
      </c>
    </row>
    <row r="91" customFormat="false" ht="15" hidden="false" customHeight="false" outlineLevel="0" collapsed="false">
      <c r="B91" s="26"/>
      <c r="C91" s="27"/>
      <c r="D91" s="28"/>
      <c r="E91" s="27"/>
      <c r="F91" s="29"/>
      <c r="G91" s="29"/>
      <c r="H91" s="31" t="str">
        <f aca="false">IF(F91="","",F91-N(G91))</f>
        <v/>
      </c>
      <c r="I91" s="27"/>
      <c r="J91" s="30" t="str">
        <f aca="false">IF(COUNTA(B91:G91,I91)=0,"",IF(OR(E91="",F91="",I91&lt;&gt;"Sim"),"Pendente","OK"))</f>
        <v/>
      </c>
    </row>
    <row r="92" customFormat="false" ht="15" hidden="false" customHeight="false" outlineLevel="0" collapsed="false">
      <c r="B92" s="26"/>
      <c r="C92" s="27"/>
      <c r="D92" s="28"/>
      <c r="E92" s="27"/>
      <c r="F92" s="29"/>
      <c r="G92" s="29"/>
      <c r="H92" s="31" t="str">
        <f aca="false">IF(F92="","",F92-N(G92))</f>
        <v/>
      </c>
      <c r="I92" s="27"/>
      <c r="J92" s="30" t="str">
        <f aca="false">IF(COUNTA(B92:G92,I92)=0,"",IF(OR(E92="",F92="",I92&lt;&gt;"Sim"),"Pendente","OK"))</f>
        <v/>
      </c>
    </row>
    <row r="93" customFormat="false" ht="15" hidden="false" customHeight="false" outlineLevel="0" collapsed="false">
      <c r="B93" s="26"/>
      <c r="C93" s="27"/>
      <c r="D93" s="28"/>
      <c r="E93" s="27"/>
      <c r="F93" s="29"/>
      <c r="G93" s="29"/>
      <c r="H93" s="31" t="str">
        <f aca="false">IF(F93="","",F93-N(G93))</f>
        <v/>
      </c>
      <c r="I93" s="27"/>
      <c r="J93" s="30" t="str">
        <f aca="false">IF(COUNTA(B93:G93,I93)=0,"",IF(OR(E93="",F93="",I93&lt;&gt;"Sim"),"Pendente","OK"))</f>
        <v/>
      </c>
    </row>
    <row r="94" customFormat="false" ht="15" hidden="false" customHeight="false" outlineLevel="0" collapsed="false">
      <c r="B94" s="26"/>
      <c r="C94" s="27"/>
      <c r="D94" s="28"/>
      <c r="E94" s="27"/>
      <c r="F94" s="29"/>
      <c r="G94" s="29"/>
      <c r="H94" s="31" t="str">
        <f aca="false">IF(F94="","",F94-N(G94))</f>
        <v/>
      </c>
      <c r="I94" s="27"/>
      <c r="J94" s="30" t="str">
        <f aca="false">IF(COUNTA(B94:G94,I94)=0,"",IF(OR(E94="",F94="",I94&lt;&gt;"Sim"),"Pendente","OK"))</f>
        <v/>
      </c>
    </row>
    <row r="95" customFormat="false" ht="15" hidden="false" customHeight="false" outlineLevel="0" collapsed="false">
      <c r="B95" s="26"/>
      <c r="C95" s="27"/>
      <c r="D95" s="28"/>
      <c r="E95" s="27"/>
      <c r="F95" s="29"/>
      <c r="G95" s="29"/>
      <c r="H95" s="31" t="str">
        <f aca="false">IF(F95="","",F95-N(G95))</f>
        <v/>
      </c>
      <c r="I95" s="27"/>
      <c r="J95" s="30" t="str">
        <f aca="false">IF(COUNTA(B95:G95,I95)=0,"",IF(OR(E95="",F95="",I95&lt;&gt;"Sim"),"Pendente","OK"))</f>
        <v/>
      </c>
    </row>
    <row r="96" customFormat="false" ht="15" hidden="false" customHeight="false" outlineLevel="0" collapsed="false">
      <c r="B96" s="26"/>
      <c r="C96" s="27"/>
      <c r="D96" s="28"/>
      <c r="E96" s="27"/>
      <c r="F96" s="29"/>
      <c r="G96" s="29"/>
      <c r="H96" s="31" t="str">
        <f aca="false">IF(F96="","",F96-N(G96))</f>
        <v/>
      </c>
      <c r="I96" s="27"/>
      <c r="J96" s="30" t="str">
        <f aca="false">IF(COUNTA(B96:G96,I96)=0,"",IF(OR(E96="",F96="",I96&lt;&gt;"Sim"),"Pendente","OK"))</f>
        <v/>
      </c>
    </row>
    <row r="97" customFormat="false" ht="15" hidden="false" customHeight="false" outlineLevel="0" collapsed="false">
      <c r="B97" s="26"/>
      <c r="C97" s="27"/>
      <c r="D97" s="28"/>
      <c r="E97" s="27"/>
      <c r="F97" s="29"/>
      <c r="G97" s="29"/>
      <c r="H97" s="31" t="str">
        <f aca="false">IF(F97="","",F97-N(G97))</f>
        <v/>
      </c>
      <c r="I97" s="27"/>
      <c r="J97" s="30" t="str">
        <f aca="false">IF(COUNTA(B97:G97,I97)=0,"",IF(OR(E97="",F97="",I97&lt;&gt;"Sim"),"Pendente","OK"))</f>
        <v/>
      </c>
    </row>
    <row r="98" customFormat="false" ht="15" hidden="false" customHeight="false" outlineLevel="0" collapsed="false">
      <c r="B98" s="26"/>
      <c r="C98" s="27"/>
      <c r="D98" s="28"/>
      <c r="E98" s="27"/>
      <c r="F98" s="29"/>
      <c r="G98" s="29"/>
      <c r="H98" s="31" t="str">
        <f aca="false">IF(F98="","",F98-N(G98))</f>
        <v/>
      </c>
      <c r="I98" s="27"/>
      <c r="J98" s="30" t="str">
        <f aca="false">IF(COUNTA(B98:G98,I98)=0,"",IF(OR(E98="",F98="",I98&lt;&gt;"Sim"),"Pendente","OK"))</f>
        <v/>
      </c>
    </row>
    <row r="99" customFormat="false" ht="15" hidden="false" customHeight="false" outlineLevel="0" collapsed="false">
      <c r="B99" s="26"/>
      <c r="C99" s="27"/>
      <c r="D99" s="28"/>
      <c r="E99" s="27"/>
      <c r="F99" s="29"/>
      <c r="G99" s="29"/>
      <c r="H99" s="31" t="str">
        <f aca="false">IF(F99="","",F99-N(G99))</f>
        <v/>
      </c>
      <c r="I99" s="27"/>
      <c r="J99" s="30" t="str">
        <f aca="false">IF(COUNTA(B99:G99,I99)=0,"",IF(OR(E99="",F99="",I99&lt;&gt;"Sim"),"Pendente","OK"))</f>
        <v/>
      </c>
    </row>
    <row r="100" customFormat="false" ht="15" hidden="false" customHeight="false" outlineLevel="0" collapsed="false">
      <c r="B100" s="26"/>
      <c r="C100" s="27"/>
      <c r="D100" s="28"/>
      <c r="E100" s="27"/>
      <c r="F100" s="29"/>
      <c r="G100" s="29"/>
      <c r="H100" s="31" t="str">
        <f aca="false">IF(F100="","",F100-N(G100))</f>
        <v/>
      </c>
      <c r="I100" s="27"/>
      <c r="J100" s="30" t="str">
        <f aca="false">IF(COUNTA(B100:G100,I100)=0,"",IF(OR(E100="",F100="",I100&lt;&gt;"Sim"),"Pendente","OK"))</f>
        <v/>
      </c>
    </row>
    <row r="101" customFormat="false" ht="15" hidden="false" customHeight="false" outlineLevel="0" collapsed="false">
      <c r="B101" s="26"/>
      <c r="C101" s="27"/>
      <c r="D101" s="28"/>
      <c r="E101" s="27"/>
      <c r="F101" s="29"/>
      <c r="G101" s="29"/>
      <c r="H101" s="31" t="str">
        <f aca="false">IF(F101="","",F101-N(G101))</f>
        <v/>
      </c>
      <c r="I101" s="27"/>
      <c r="J101" s="30" t="str">
        <f aca="false">IF(COUNTA(B101:G101,I101)=0,"",IF(OR(E101="",F101="",I101&lt;&gt;"Sim"),"Pendente","OK"))</f>
        <v/>
      </c>
    </row>
    <row r="102" customFormat="false" ht="15" hidden="false" customHeight="false" outlineLevel="0" collapsed="false">
      <c r="B102" s="26"/>
      <c r="C102" s="27"/>
      <c r="D102" s="28"/>
      <c r="E102" s="27"/>
      <c r="F102" s="29"/>
      <c r="G102" s="29"/>
      <c r="H102" s="31" t="str">
        <f aca="false">IF(F102="","",F102-N(G102))</f>
        <v/>
      </c>
      <c r="I102" s="27"/>
      <c r="J102" s="30" t="str">
        <f aca="false">IF(COUNTA(B102:G102,I102)=0,"",IF(OR(E102="",F102="",I102&lt;&gt;"Sim"),"Pendente","OK"))</f>
        <v/>
      </c>
    </row>
    <row r="103" customFormat="false" ht="15" hidden="false" customHeight="false" outlineLevel="0" collapsed="false">
      <c r="B103" s="26"/>
      <c r="C103" s="27"/>
      <c r="D103" s="28"/>
      <c r="E103" s="27"/>
      <c r="F103" s="29"/>
      <c r="G103" s="29"/>
      <c r="H103" s="31" t="str">
        <f aca="false">IF(F103="","",F103-N(G103))</f>
        <v/>
      </c>
      <c r="I103" s="27"/>
      <c r="J103" s="30" t="str">
        <f aca="false">IF(COUNTA(B103:G103,I103)=0,"",IF(OR(E103="",F103="",I103&lt;&gt;"Sim"),"Pendente","OK"))</f>
        <v/>
      </c>
    </row>
    <row r="104" customFormat="false" ht="15" hidden="false" customHeight="false" outlineLevel="0" collapsed="false">
      <c r="B104" s="26"/>
      <c r="C104" s="27"/>
      <c r="D104" s="28"/>
      <c r="E104" s="27"/>
      <c r="F104" s="29"/>
      <c r="G104" s="29"/>
      <c r="H104" s="31" t="str">
        <f aca="false">IF(F104="","",F104-N(G104))</f>
        <v/>
      </c>
      <c r="I104" s="27"/>
      <c r="J104" s="30" t="str">
        <f aca="false">IF(COUNTA(B104:G104,I104)=0,"",IF(OR(E104="",F104="",I104&lt;&gt;"Sim"),"Pendente","OK"))</f>
        <v/>
      </c>
    </row>
    <row r="105" customFormat="false" ht="15" hidden="false" customHeight="false" outlineLevel="0" collapsed="false">
      <c r="B105" s="26"/>
      <c r="C105" s="27"/>
      <c r="D105" s="28"/>
      <c r="E105" s="27"/>
      <c r="F105" s="29"/>
      <c r="G105" s="29"/>
      <c r="H105" s="31" t="str">
        <f aca="false">IF(F105="","",F105-N(G105))</f>
        <v/>
      </c>
      <c r="I105" s="27"/>
      <c r="J105" s="30" t="str">
        <f aca="false">IF(COUNTA(B105:G105,I105)=0,"",IF(OR(E105="",F105="",I105&lt;&gt;"Sim"),"Pendente","OK"))</f>
        <v/>
      </c>
    </row>
    <row r="106" customFormat="false" ht="15" hidden="false" customHeight="false" outlineLevel="0" collapsed="false">
      <c r="B106" s="26"/>
      <c r="C106" s="27"/>
      <c r="D106" s="28"/>
      <c r="E106" s="27"/>
      <c r="F106" s="29"/>
      <c r="G106" s="29"/>
      <c r="H106" s="31" t="str">
        <f aca="false">IF(F106="","",F106-N(G106))</f>
        <v/>
      </c>
      <c r="I106" s="27"/>
      <c r="J106" s="30" t="str">
        <f aca="false">IF(COUNTA(B106:G106,I106)=0,"",IF(OR(E106="",F106="",I106&lt;&gt;"Sim"),"Pendente","OK"))</f>
        <v/>
      </c>
    </row>
    <row r="107" customFormat="false" ht="15" hidden="false" customHeight="false" outlineLevel="0" collapsed="false">
      <c r="B107" s="26"/>
      <c r="C107" s="27"/>
      <c r="D107" s="28"/>
      <c r="E107" s="27"/>
      <c r="F107" s="29"/>
      <c r="G107" s="29"/>
      <c r="H107" s="31" t="str">
        <f aca="false">IF(F107="","",F107-N(G107))</f>
        <v/>
      </c>
      <c r="I107" s="27"/>
      <c r="J107" s="30" t="str">
        <f aca="false">IF(COUNTA(B107:G107,I107)=0,"",IF(OR(E107="",F107="",I107&lt;&gt;"Sim"),"Pendente","OK"))</f>
        <v/>
      </c>
    </row>
    <row r="108" customFormat="false" ht="15" hidden="false" customHeight="false" outlineLevel="0" collapsed="false">
      <c r="B108" s="26"/>
      <c r="C108" s="27"/>
      <c r="D108" s="28"/>
      <c r="E108" s="27"/>
      <c r="F108" s="29"/>
      <c r="G108" s="29"/>
      <c r="H108" s="31" t="str">
        <f aca="false">IF(F108="","",F108-N(G108))</f>
        <v/>
      </c>
      <c r="I108" s="27"/>
      <c r="J108" s="30" t="str">
        <f aca="false">IF(COUNTA(B108:G108,I108)=0,"",IF(OR(E108="",F108="",I108&lt;&gt;"Sim"),"Pendente","OK"))</f>
        <v/>
      </c>
    </row>
    <row r="109" customFormat="false" ht="15" hidden="false" customHeight="false" outlineLevel="0" collapsed="false">
      <c r="B109" s="26"/>
      <c r="C109" s="27"/>
      <c r="D109" s="28"/>
      <c r="E109" s="27"/>
      <c r="F109" s="29"/>
      <c r="G109" s="29"/>
      <c r="H109" s="31" t="str">
        <f aca="false">IF(F109="","",F109-N(G109))</f>
        <v/>
      </c>
      <c r="I109" s="27"/>
      <c r="J109" s="30" t="str">
        <f aca="false">IF(COUNTA(B109:G109,I109)=0,"",IF(OR(E109="",F109="",I109&lt;&gt;"Sim"),"Pendente","OK"))</f>
        <v/>
      </c>
    </row>
    <row r="110" customFormat="false" ht="15" hidden="false" customHeight="false" outlineLevel="0" collapsed="false">
      <c r="B110" s="26"/>
      <c r="C110" s="27"/>
      <c r="D110" s="28"/>
      <c r="E110" s="27"/>
      <c r="F110" s="29"/>
      <c r="G110" s="29"/>
      <c r="H110" s="31" t="str">
        <f aca="false">IF(F110="","",F110-N(G110))</f>
        <v/>
      </c>
      <c r="I110" s="27"/>
      <c r="J110" s="30" t="str">
        <f aca="false">IF(COUNTA(B110:G110,I110)=0,"",IF(OR(E110="",F110="",I110&lt;&gt;"Sim"),"Pendente","OK"))</f>
        <v/>
      </c>
    </row>
    <row r="111" customFormat="false" ht="15" hidden="false" customHeight="false" outlineLevel="0" collapsed="false">
      <c r="B111" s="26"/>
      <c r="C111" s="27"/>
      <c r="D111" s="28"/>
      <c r="E111" s="27"/>
      <c r="F111" s="29"/>
      <c r="G111" s="29"/>
      <c r="H111" s="31" t="str">
        <f aca="false">IF(F111="","",F111-N(G111))</f>
        <v/>
      </c>
      <c r="I111" s="27"/>
      <c r="J111" s="30" t="str">
        <f aca="false">IF(COUNTA(B111:G111,I111)=0,"",IF(OR(E111="",F111="",I111&lt;&gt;"Sim"),"Pendente","OK"))</f>
        <v/>
      </c>
    </row>
    <row r="112" customFormat="false" ht="15" hidden="false" customHeight="false" outlineLevel="0" collapsed="false">
      <c r="B112" s="26"/>
      <c r="C112" s="27"/>
      <c r="D112" s="28"/>
      <c r="E112" s="27"/>
      <c r="F112" s="29"/>
      <c r="G112" s="29"/>
      <c r="H112" s="31" t="str">
        <f aca="false">IF(F112="","",F112-N(G112))</f>
        <v/>
      </c>
      <c r="I112" s="27"/>
      <c r="J112" s="30" t="str">
        <f aca="false">IF(COUNTA(B112:G112,I112)=0,"",IF(OR(E112="",F112="",I112&lt;&gt;"Sim"),"Pendente","OK"))</f>
        <v/>
      </c>
    </row>
    <row r="113" customFormat="false" ht="15" hidden="false" customHeight="false" outlineLevel="0" collapsed="false">
      <c r="B113" s="26"/>
      <c r="C113" s="27"/>
      <c r="D113" s="28"/>
      <c r="E113" s="27"/>
      <c r="F113" s="29"/>
      <c r="G113" s="29"/>
      <c r="H113" s="31" t="str">
        <f aca="false">IF(F113="","",F113-N(G113))</f>
        <v/>
      </c>
      <c r="I113" s="27"/>
      <c r="J113" s="30" t="str">
        <f aca="false">IF(COUNTA(B113:G113,I113)=0,"",IF(OR(E113="",F113="",I113&lt;&gt;"Sim"),"Pendente","OK"))</f>
        <v/>
      </c>
    </row>
    <row r="114" customFormat="false" ht="15" hidden="false" customHeight="false" outlineLevel="0" collapsed="false">
      <c r="B114" s="26"/>
      <c r="C114" s="27"/>
      <c r="D114" s="28"/>
      <c r="E114" s="27"/>
      <c r="F114" s="29"/>
      <c r="G114" s="29"/>
      <c r="H114" s="31" t="str">
        <f aca="false">IF(F114="","",F114-N(G114))</f>
        <v/>
      </c>
      <c r="I114" s="27"/>
      <c r="J114" s="30" t="str">
        <f aca="false">IF(COUNTA(B114:G114,I114)=0,"",IF(OR(E114="",F114="",I114&lt;&gt;"Sim"),"Pendente","OK"))</f>
        <v/>
      </c>
    </row>
    <row r="115" customFormat="false" ht="15" hidden="false" customHeight="false" outlineLevel="0" collapsed="false">
      <c r="B115" s="26"/>
      <c r="C115" s="27"/>
      <c r="D115" s="28"/>
      <c r="E115" s="27"/>
      <c r="F115" s="29"/>
      <c r="G115" s="29"/>
      <c r="H115" s="31" t="str">
        <f aca="false">IF(F115="","",F115-N(G115))</f>
        <v/>
      </c>
      <c r="I115" s="27"/>
      <c r="J115" s="30" t="str">
        <f aca="false">IF(COUNTA(B115:G115,I115)=0,"",IF(OR(E115="",F115="",I115&lt;&gt;"Sim"),"Pendente","OK"))</f>
        <v/>
      </c>
    </row>
    <row r="116" customFormat="false" ht="15" hidden="false" customHeight="false" outlineLevel="0" collapsed="false">
      <c r="B116" s="26"/>
      <c r="C116" s="27"/>
      <c r="D116" s="28"/>
      <c r="E116" s="27"/>
      <c r="F116" s="29"/>
      <c r="G116" s="29"/>
      <c r="H116" s="31" t="str">
        <f aca="false">IF(F116="","",F116-N(G116))</f>
        <v/>
      </c>
      <c r="I116" s="27"/>
      <c r="J116" s="30" t="str">
        <f aca="false">IF(COUNTA(B116:G116,I116)=0,"",IF(OR(E116="",F116="",I116&lt;&gt;"Sim"),"Pendente","OK"))</f>
        <v/>
      </c>
    </row>
    <row r="117" customFormat="false" ht="15" hidden="false" customHeight="false" outlineLevel="0" collapsed="false">
      <c r="B117" s="26"/>
      <c r="C117" s="27"/>
      <c r="D117" s="28"/>
      <c r="E117" s="27"/>
      <c r="F117" s="29"/>
      <c r="G117" s="29"/>
      <c r="H117" s="31" t="str">
        <f aca="false">IF(F117="","",F117-N(G117))</f>
        <v/>
      </c>
      <c r="I117" s="27"/>
      <c r="J117" s="30" t="str">
        <f aca="false">IF(COUNTA(B117:G117,I117)=0,"",IF(OR(E117="",F117="",I117&lt;&gt;"Sim"),"Pendente","OK"))</f>
        <v/>
      </c>
    </row>
    <row r="118" customFormat="false" ht="15" hidden="false" customHeight="false" outlineLevel="0" collapsed="false">
      <c r="B118" s="26"/>
      <c r="C118" s="27"/>
      <c r="D118" s="28"/>
      <c r="E118" s="27"/>
      <c r="F118" s="29"/>
      <c r="G118" s="29"/>
      <c r="H118" s="31" t="str">
        <f aca="false">IF(F118="","",F118-N(G118))</f>
        <v/>
      </c>
      <c r="I118" s="27"/>
      <c r="J118" s="30" t="str">
        <f aca="false">IF(COUNTA(B118:G118,I118)=0,"",IF(OR(E118="",F118="",I118&lt;&gt;"Sim"),"Pendente","OK"))</f>
        <v/>
      </c>
    </row>
    <row r="119" customFormat="false" ht="15" hidden="false" customHeight="false" outlineLevel="0" collapsed="false">
      <c r="B119" s="26"/>
      <c r="C119" s="27"/>
      <c r="D119" s="28"/>
      <c r="E119" s="27"/>
      <c r="F119" s="29"/>
      <c r="G119" s="29"/>
      <c r="H119" s="31" t="str">
        <f aca="false">IF(F119="","",F119-N(G119))</f>
        <v/>
      </c>
      <c r="I119" s="27"/>
      <c r="J119" s="30" t="str">
        <f aca="false">IF(COUNTA(B119:G119,I119)=0,"",IF(OR(E119="",F119="",I119&lt;&gt;"Sim"),"Pendente","OK"))</f>
        <v/>
      </c>
    </row>
    <row r="120" customFormat="false" ht="15" hidden="false" customHeight="false" outlineLevel="0" collapsed="false">
      <c r="B120" s="26"/>
      <c r="C120" s="27"/>
      <c r="D120" s="28"/>
      <c r="E120" s="27"/>
      <c r="F120" s="29"/>
      <c r="G120" s="29"/>
      <c r="H120" s="31" t="str">
        <f aca="false">IF(F120="","",F120-N(G120))</f>
        <v/>
      </c>
      <c r="I120" s="27"/>
      <c r="J120" s="30" t="str">
        <f aca="false">IF(COUNTA(B120:G120,I120)=0,"",IF(OR(E120="",F120="",I120&lt;&gt;"Sim"),"Pendente","OK"))</f>
        <v/>
      </c>
    </row>
    <row r="121" customFormat="false" ht="15" hidden="false" customHeight="false" outlineLevel="0" collapsed="false">
      <c r="B121" s="26"/>
      <c r="C121" s="27"/>
      <c r="D121" s="28"/>
      <c r="E121" s="27"/>
      <c r="F121" s="29"/>
      <c r="G121" s="29"/>
      <c r="H121" s="31" t="str">
        <f aca="false">IF(F121="","",F121-N(G121))</f>
        <v/>
      </c>
      <c r="I121" s="27"/>
      <c r="J121" s="30" t="str">
        <f aca="false">IF(COUNTA(B121:G121,I121)=0,"",IF(OR(E121="",F121="",I121&lt;&gt;"Sim"),"Pendente","OK"))</f>
        <v/>
      </c>
    </row>
    <row r="122" customFormat="false" ht="15" hidden="false" customHeight="false" outlineLevel="0" collapsed="false">
      <c r="B122" s="26"/>
      <c r="C122" s="27"/>
      <c r="D122" s="28"/>
      <c r="E122" s="27"/>
      <c r="F122" s="29"/>
      <c r="G122" s="29"/>
      <c r="H122" s="31" t="str">
        <f aca="false">IF(F122="","",F122-N(G122))</f>
        <v/>
      </c>
      <c r="I122" s="27"/>
      <c r="J122" s="30" t="str">
        <f aca="false">IF(COUNTA(B122:G122,I122)=0,"",IF(OR(E122="",F122="",I122&lt;&gt;"Sim"),"Pendente","OK"))</f>
        <v/>
      </c>
    </row>
    <row r="123" customFormat="false" ht="15" hidden="false" customHeight="false" outlineLevel="0" collapsed="false">
      <c r="B123" s="26"/>
      <c r="C123" s="27"/>
      <c r="D123" s="28"/>
      <c r="E123" s="27"/>
      <c r="F123" s="29"/>
      <c r="G123" s="29"/>
      <c r="H123" s="31" t="str">
        <f aca="false">IF(F123="","",F123-N(G123))</f>
        <v/>
      </c>
      <c r="I123" s="27"/>
      <c r="J123" s="30" t="str">
        <f aca="false">IF(COUNTA(B123:G123,I123)=0,"",IF(OR(E123="",F123="",I123&lt;&gt;"Sim"),"Pendente","OK"))</f>
        <v/>
      </c>
    </row>
    <row r="124" customFormat="false" ht="15" hidden="false" customHeight="false" outlineLevel="0" collapsed="false">
      <c r="B124" s="26"/>
      <c r="C124" s="27"/>
      <c r="D124" s="28"/>
      <c r="E124" s="27"/>
      <c r="F124" s="29"/>
      <c r="G124" s="29"/>
      <c r="H124" s="31" t="str">
        <f aca="false">IF(F124="","",F124-N(G124))</f>
        <v/>
      </c>
      <c r="I124" s="27"/>
      <c r="J124" s="30" t="str">
        <f aca="false">IF(COUNTA(B124:G124,I124)=0,"",IF(OR(E124="",F124="",I124&lt;&gt;"Sim"),"Pendente","OK"))</f>
        <v/>
      </c>
    </row>
    <row r="125" customFormat="false" ht="15" hidden="false" customHeight="false" outlineLevel="0" collapsed="false">
      <c r="B125" s="26"/>
      <c r="C125" s="27"/>
      <c r="D125" s="28"/>
      <c r="E125" s="27"/>
      <c r="F125" s="29"/>
      <c r="G125" s="29"/>
      <c r="H125" s="31" t="str">
        <f aca="false">IF(F125="","",F125-N(G125))</f>
        <v/>
      </c>
      <c r="I125" s="27"/>
      <c r="J125" s="30" t="str">
        <f aca="false">IF(COUNTA(B125:G125,I125)=0,"",IF(OR(E125="",F125="",I125&lt;&gt;"Sim"),"Pendente","OK"))</f>
        <v/>
      </c>
    </row>
    <row r="126" customFormat="false" ht="15" hidden="false" customHeight="false" outlineLevel="0" collapsed="false">
      <c r="B126" s="26"/>
      <c r="C126" s="27"/>
      <c r="D126" s="28"/>
      <c r="E126" s="27"/>
      <c r="F126" s="29"/>
      <c r="G126" s="29"/>
      <c r="H126" s="31" t="str">
        <f aca="false">IF(F126="","",F126-N(G126))</f>
        <v/>
      </c>
      <c r="I126" s="27"/>
      <c r="J126" s="30" t="str">
        <f aca="false">IF(COUNTA(B126:G126,I126)=0,"",IF(OR(E126="",F126="",I126&lt;&gt;"Sim"),"Pendente","OK"))</f>
        <v/>
      </c>
    </row>
    <row r="127" customFormat="false" ht="15" hidden="false" customHeight="false" outlineLevel="0" collapsed="false">
      <c r="B127" s="26"/>
      <c r="C127" s="27"/>
      <c r="D127" s="28"/>
      <c r="E127" s="27"/>
      <c r="F127" s="29"/>
      <c r="G127" s="29"/>
      <c r="H127" s="31" t="str">
        <f aca="false">IF(F127="","",F127-N(G127))</f>
        <v/>
      </c>
      <c r="I127" s="27"/>
      <c r="J127" s="30" t="str">
        <f aca="false">IF(COUNTA(B127:G127,I127)=0,"",IF(OR(E127="",F127="",I127&lt;&gt;"Sim"),"Pendente","OK"))</f>
        <v/>
      </c>
    </row>
    <row r="128" customFormat="false" ht="15" hidden="false" customHeight="false" outlineLevel="0" collapsed="false">
      <c r="B128" s="26"/>
      <c r="C128" s="27"/>
      <c r="D128" s="28"/>
      <c r="E128" s="27"/>
      <c r="F128" s="29"/>
      <c r="G128" s="29"/>
      <c r="H128" s="31" t="str">
        <f aca="false">IF(F128="","",F128-N(G128))</f>
        <v/>
      </c>
      <c r="I128" s="27"/>
      <c r="J128" s="30" t="str">
        <f aca="false">IF(COUNTA(B128:G128,I128)=0,"",IF(OR(E128="",F128="",I128&lt;&gt;"Sim"),"Pendente","OK"))</f>
        <v/>
      </c>
    </row>
    <row r="129" customFormat="false" ht="15" hidden="false" customHeight="false" outlineLevel="0" collapsed="false">
      <c r="B129" s="26"/>
      <c r="C129" s="27"/>
      <c r="D129" s="28"/>
      <c r="E129" s="27"/>
      <c r="F129" s="29"/>
      <c r="G129" s="29"/>
      <c r="H129" s="31" t="str">
        <f aca="false">IF(F129="","",F129-N(G129))</f>
        <v/>
      </c>
      <c r="I129" s="27"/>
      <c r="J129" s="30" t="str">
        <f aca="false">IF(COUNTA(B129:G129,I129)=0,"",IF(OR(E129="",F129="",I129&lt;&gt;"Sim"),"Pendente","OK"))</f>
        <v/>
      </c>
    </row>
    <row r="130" customFormat="false" ht="15" hidden="false" customHeight="false" outlineLevel="0" collapsed="false">
      <c r="B130" s="26"/>
      <c r="C130" s="27"/>
      <c r="D130" s="28"/>
      <c r="E130" s="27"/>
      <c r="F130" s="29"/>
      <c r="G130" s="29"/>
      <c r="H130" s="31" t="str">
        <f aca="false">IF(F130="","",F130-N(G130))</f>
        <v/>
      </c>
      <c r="I130" s="27"/>
      <c r="J130" s="30" t="str">
        <f aca="false">IF(COUNTA(B130:G130,I130)=0,"",IF(OR(E130="",F130="",I130&lt;&gt;"Sim"),"Pendente","OK"))</f>
        <v/>
      </c>
    </row>
    <row r="131" customFormat="false" ht="15" hidden="false" customHeight="false" outlineLevel="0" collapsed="false">
      <c r="B131" s="26"/>
      <c r="C131" s="27"/>
      <c r="D131" s="28"/>
      <c r="E131" s="27"/>
      <c r="F131" s="29"/>
      <c r="G131" s="29"/>
      <c r="H131" s="31" t="str">
        <f aca="false">IF(F131="","",F131-N(G131))</f>
        <v/>
      </c>
      <c r="I131" s="27"/>
      <c r="J131" s="30" t="str">
        <f aca="false">IF(COUNTA(B131:G131,I131)=0,"",IF(OR(E131="",F131="",I131&lt;&gt;"Sim"),"Pendente","OK"))</f>
        <v/>
      </c>
    </row>
    <row r="132" customFormat="false" ht="15" hidden="false" customHeight="false" outlineLevel="0" collapsed="false">
      <c r="B132" s="26"/>
      <c r="C132" s="27"/>
      <c r="D132" s="28"/>
      <c r="E132" s="27"/>
      <c r="F132" s="29"/>
      <c r="G132" s="29"/>
      <c r="H132" s="31" t="str">
        <f aca="false">IF(F132="","",F132-N(G132))</f>
        <v/>
      </c>
      <c r="I132" s="27"/>
      <c r="J132" s="30" t="str">
        <f aca="false">IF(COUNTA(B132:G132,I132)=0,"",IF(OR(E132="",F132="",I132&lt;&gt;"Sim"),"Pendente","OK"))</f>
        <v/>
      </c>
    </row>
    <row r="133" customFormat="false" ht="15" hidden="false" customHeight="false" outlineLevel="0" collapsed="false">
      <c r="B133" s="26"/>
      <c r="C133" s="27"/>
      <c r="D133" s="28"/>
      <c r="E133" s="27"/>
      <c r="F133" s="29"/>
      <c r="G133" s="29"/>
      <c r="H133" s="31" t="str">
        <f aca="false">IF(F133="","",F133-N(G133))</f>
        <v/>
      </c>
      <c r="I133" s="27"/>
      <c r="J133" s="30" t="str">
        <f aca="false">IF(COUNTA(B133:G133,I133)=0,"",IF(OR(E133="",F133="",I133&lt;&gt;"Sim"),"Pendente","OK"))</f>
        <v/>
      </c>
    </row>
    <row r="134" customFormat="false" ht="15" hidden="false" customHeight="false" outlineLevel="0" collapsed="false">
      <c r="B134" s="26"/>
      <c r="C134" s="27"/>
      <c r="D134" s="28"/>
      <c r="E134" s="27"/>
      <c r="F134" s="29"/>
      <c r="G134" s="29"/>
      <c r="H134" s="31" t="str">
        <f aca="false">IF(F134="","",F134-N(G134))</f>
        <v/>
      </c>
      <c r="I134" s="27"/>
      <c r="J134" s="30" t="str">
        <f aca="false">IF(COUNTA(B134:G134,I134)=0,"",IF(OR(E134="",F134="",I134&lt;&gt;"Sim"),"Pendente","OK"))</f>
        <v/>
      </c>
    </row>
    <row r="135" customFormat="false" ht="15" hidden="false" customHeight="false" outlineLevel="0" collapsed="false">
      <c r="B135" s="26"/>
      <c r="C135" s="27"/>
      <c r="D135" s="28"/>
      <c r="E135" s="27"/>
      <c r="F135" s="29"/>
      <c r="G135" s="29"/>
      <c r="H135" s="31" t="str">
        <f aca="false">IF(F135="","",F135-N(G135))</f>
        <v/>
      </c>
      <c r="I135" s="27"/>
      <c r="J135" s="30" t="str">
        <f aca="false">IF(COUNTA(B135:G135,I135)=0,"",IF(OR(E135="",F135="",I135&lt;&gt;"Sim"),"Pendente","OK"))</f>
        <v/>
      </c>
    </row>
    <row r="136" customFormat="false" ht="15" hidden="false" customHeight="false" outlineLevel="0" collapsed="false">
      <c r="B136" s="26"/>
      <c r="C136" s="27"/>
      <c r="D136" s="28"/>
      <c r="E136" s="27"/>
      <c r="F136" s="29"/>
      <c r="G136" s="29"/>
      <c r="H136" s="31" t="str">
        <f aca="false">IF(F136="","",F136-N(G136))</f>
        <v/>
      </c>
      <c r="I136" s="27"/>
      <c r="J136" s="30" t="str">
        <f aca="false">IF(COUNTA(B136:G136,I136)=0,"",IF(OR(E136="",F136="",I136&lt;&gt;"Sim"),"Pendente","OK"))</f>
        <v/>
      </c>
    </row>
    <row r="137" customFormat="false" ht="15" hidden="false" customHeight="false" outlineLevel="0" collapsed="false">
      <c r="B137" s="26"/>
      <c r="C137" s="27"/>
      <c r="D137" s="28"/>
      <c r="E137" s="27"/>
      <c r="F137" s="29"/>
      <c r="G137" s="29"/>
      <c r="H137" s="31" t="str">
        <f aca="false">IF(F137="","",F137-N(G137))</f>
        <v/>
      </c>
      <c r="I137" s="27"/>
      <c r="J137" s="30" t="str">
        <f aca="false">IF(COUNTA(B137:G137,I137)=0,"",IF(OR(E137="",F137="",I137&lt;&gt;"Sim"),"Pendente","OK"))</f>
        <v/>
      </c>
    </row>
    <row r="138" customFormat="false" ht="15" hidden="false" customHeight="false" outlineLevel="0" collapsed="false">
      <c r="B138" s="26"/>
      <c r="C138" s="27"/>
      <c r="D138" s="28"/>
      <c r="E138" s="27"/>
      <c r="F138" s="29"/>
      <c r="G138" s="29"/>
      <c r="H138" s="31" t="str">
        <f aca="false">IF(F138="","",F138-N(G138))</f>
        <v/>
      </c>
      <c r="I138" s="27"/>
      <c r="J138" s="30" t="str">
        <f aca="false">IF(COUNTA(B138:G138,I138)=0,"",IF(OR(E138="",F138="",I138&lt;&gt;"Sim"),"Pendente","OK"))</f>
        <v/>
      </c>
    </row>
    <row r="139" customFormat="false" ht="15" hidden="false" customHeight="false" outlineLevel="0" collapsed="false">
      <c r="B139" s="26"/>
      <c r="C139" s="27"/>
      <c r="D139" s="28"/>
      <c r="E139" s="27"/>
      <c r="F139" s="29"/>
      <c r="G139" s="29"/>
      <c r="H139" s="31" t="str">
        <f aca="false">IF(F139="","",F139-N(G139))</f>
        <v/>
      </c>
      <c r="I139" s="27"/>
      <c r="J139" s="30" t="str">
        <f aca="false">IF(COUNTA(B139:G139,I139)=0,"",IF(OR(E139="",F139="",I139&lt;&gt;"Sim"),"Pendente","OK"))</f>
        <v/>
      </c>
    </row>
    <row r="140" customFormat="false" ht="15" hidden="false" customHeight="false" outlineLevel="0" collapsed="false">
      <c r="B140" s="26"/>
      <c r="C140" s="27"/>
      <c r="D140" s="28"/>
      <c r="E140" s="27"/>
      <c r="F140" s="29"/>
      <c r="G140" s="29"/>
      <c r="H140" s="31" t="str">
        <f aca="false">IF(F140="","",F140-N(G140))</f>
        <v/>
      </c>
      <c r="I140" s="27"/>
      <c r="J140" s="30" t="str">
        <f aca="false">IF(COUNTA(B140:G140,I140)=0,"",IF(OR(E140="",F140="",I140&lt;&gt;"Sim"),"Pendente","OK"))</f>
        <v/>
      </c>
    </row>
    <row r="141" customFormat="false" ht="15" hidden="false" customHeight="false" outlineLevel="0" collapsed="false">
      <c r="B141" s="26"/>
      <c r="C141" s="27"/>
      <c r="D141" s="28"/>
      <c r="E141" s="27"/>
      <c r="F141" s="29"/>
      <c r="G141" s="29"/>
      <c r="H141" s="31" t="str">
        <f aca="false">IF(F141="","",F141-N(G141))</f>
        <v/>
      </c>
      <c r="I141" s="27"/>
      <c r="J141" s="30" t="str">
        <f aca="false">IF(COUNTA(B141:G141,I141)=0,"",IF(OR(E141="",F141="",I141&lt;&gt;"Sim"),"Pendente","OK"))</f>
        <v/>
      </c>
    </row>
    <row r="142" customFormat="false" ht="15" hidden="false" customHeight="false" outlineLevel="0" collapsed="false">
      <c r="B142" s="26"/>
      <c r="C142" s="27"/>
      <c r="D142" s="28"/>
      <c r="E142" s="27"/>
      <c r="F142" s="29"/>
      <c r="G142" s="29"/>
      <c r="H142" s="31" t="str">
        <f aca="false">IF(F142="","",F142-N(G142))</f>
        <v/>
      </c>
      <c r="I142" s="27"/>
      <c r="J142" s="30" t="str">
        <f aca="false">IF(COUNTA(B142:G142,I142)=0,"",IF(OR(E142="",F142="",I142&lt;&gt;"Sim"),"Pendente","OK"))</f>
        <v/>
      </c>
    </row>
    <row r="143" customFormat="false" ht="15" hidden="false" customHeight="false" outlineLevel="0" collapsed="false">
      <c r="B143" s="26"/>
      <c r="C143" s="27"/>
      <c r="D143" s="28"/>
      <c r="E143" s="27"/>
      <c r="F143" s="29"/>
      <c r="G143" s="29"/>
      <c r="H143" s="31" t="str">
        <f aca="false">IF(F143="","",F143-N(G143))</f>
        <v/>
      </c>
      <c r="I143" s="27"/>
      <c r="J143" s="30" t="str">
        <f aca="false">IF(COUNTA(B143:G143,I143)=0,"",IF(OR(E143="",F143="",I143&lt;&gt;"Sim"),"Pendente","OK"))</f>
        <v/>
      </c>
    </row>
    <row r="144" customFormat="false" ht="15" hidden="false" customHeight="false" outlineLevel="0" collapsed="false">
      <c r="B144" s="26"/>
      <c r="C144" s="27"/>
      <c r="D144" s="28"/>
      <c r="E144" s="27"/>
      <c r="F144" s="29"/>
      <c r="G144" s="29"/>
      <c r="H144" s="31" t="str">
        <f aca="false">IF(F144="","",F144-N(G144))</f>
        <v/>
      </c>
      <c r="I144" s="27"/>
      <c r="J144" s="30" t="str">
        <f aca="false">IF(COUNTA(B144:G144,I144)=0,"",IF(OR(E144="",F144="",I144&lt;&gt;"Sim"),"Pendente","OK"))</f>
        <v/>
      </c>
    </row>
    <row r="145" customFormat="false" ht="15" hidden="false" customHeight="false" outlineLevel="0" collapsed="false">
      <c r="B145" s="26"/>
      <c r="C145" s="27"/>
      <c r="D145" s="28"/>
      <c r="E145" s="27"/>
      <c r="F145" s="29"/>
      <c r="G145" s="29"/>
      <c r="H145" s="31" t="str">
        <f aca="false">IF(F145="","",F145-N(G145))</f>
        <v/>
      </c>
      <c r="I145" s="27"/>
      <c r="J145" s="30" t="str">
        <f aca="false">IF(COUNTA(B145:G145,I145)=0,"",IF(OR(E145="",F145="",I145&lt;&gt;"Sim"),"Pendente","OK"))</f>
        <v/>
      </c>
    </row>
    <row r="146" customFormat="false" ht="15" hidden="false" customHeight="false" outlineLevel="0" collapsed="false">
      <c r="B146" s="26"/>
      <c r="C146" s="27"/>
      <c r="D146" s="28"/>
      <c r="E146" s="27"/>
      <c r="F146" s="29"/>
      <c r="G146" s="29"/>
      <c r="H146" s="31" t="str">
        <f aca="false">IF(F146="","",F146-N(G146))</f>
        <v/>
      </c>
      <c r="I146" s="27"/>
      <c r="J146" s="30" t="str">
        <f aca="false">IF(COUNTA(B146:G146,I146)=0,"",IF(OR(E146="",F146="",I146&lt;&gt;"Sim"),"Pendente","OK"))</f>
        <v/>
      </c>
    </row>
    <row r="147" customFormat="false" ht="15" hidden="false" customHeight="false" outlineLevel="0" collapsed="false">
      <c r="B147" s="26"/>
      <c r="C147" s="27"/>
      <c r="D147" s="28"/>
      <c r="E147" s="27"/>
      <c r="F147" s="29"/>
      <c r="G147" s="29"/>
      <c r="H147" s="31" t="str">
        <f aca="false">IF(F147="","",F147-N(G147))</f>
        <v/>
      </c>
      <c r="I147" s="27"/>
      <c r="J147" s="30" t="str">
        <f aca="false">IF(COUNTA(B147:G147,I147)=0,"",IF(OR(E147="",F147="",I147&lt;&gt;"Sim"),"Pendente","OK"))</f>
        <v/>
      </c>
    </row>
    <row r="148" customFormat="false" ht="15" hidden="false" customHeight="false" outlineLevel="0" collapsed="false">
      <c r="B148" s="26"/>
      <c r="C148" s="27"/>
      <c r="D148" s="28"/>
      <c r="E148" s="27"/>
      <c r="F148" s="29"/>
      <c r="G148" s="29"/>
      <c r="H148" s="31" t="str">
        <f aca="false">IF(F148="","",F148-N(G148))</f>
        <v/>
      </c>
      <c r="I148" s="27"/>
      <c r="J148" s="30" t="str">
        <f aca="false">IF(COUNTA(B148:G148,I148)=0,"",IF(OR(E148="",F148="",I148&lt;&gt;"Sim"),"Pendente","OK"))</f>
        <v/>
      </c>
    </row>
    <row r="149" customFormat="false" ht="15" hidden="false" customHeight="false" outlineLevel="0" collapsed="false">
      <c r="B149" s="26"/>
      <c r="C149" s="27"/>
      <c r="D149" s="28"/>
      <c r="E149" s="27"/>
      <c r="F149" s="29"/>
      <c r="G149" s="29"/>
      <c r="H149" s="31" t="str">
        <f aca="false">IF(F149="","",F149-N(G149))</f>
        <v/>
      </c>
      <c r="I149" s="27"/>
      <c r="J149" s="30" t="str">
        <f aca="false">IF(COUNTA(B149:G149,I149)=0,"",IF(OR(E149="",F149="",I149&lt;&gt;"Sim"),"Pendente","OK"))</f>
        <v/>
      </c>
    </row>
    <row r="150" customFormat="false" ht="15" hidden="false" customHeight="false" outlineLevel="0" collapsed="false">
      <c r="B150" s="26"/>
      <c r="C150" s="27"/>
      <c r="D150" s="28"/>
      <c r="E150" s="27"/>
      <c r="F150" s="29"/>
      <c r="G150" s="29"/>
      <c r="H150" s="31" t="str">
        <f aca="false">IF(F150="","",F150-N(G150))</f>
        <v/>
      </c>
      <c r="I150" s="27"/>
      <c r="J150" s="30" t="str">
        <f aca="false">IF(COUNTA(B150:G150,I150)=0,"",IF(OR(E150="",F150="",I150&lt;&gt;"Sim"),"Pendente","OK"))</f>
        <v/>
      </c>
    </row>
    <row r="151" customFormat="false" ht="15" hidden="false" customHeight="false" outlineLevel="0" collapsed="false">
      <c r="B151" s="26"/>
      <c r="C151" s="27"/>
      <c r="D151" s="28"/>
      <c r="E151" s="27"/>
      <c r="F151" s="29"/>
      <c r="G151" s="29"/>
      <c r="H151" s="31" t="str">
        <f aca="false">IF(F151="","",F151-N(G151))</f>
        <v/>
      </c>
      <c r="I151" s="27"/>
      <c r="J151" s="30" t="str">
        <f aca="false">IF(COUNTA(B151:G151,I151)=0,"",IF(OR(E151="",F151="",I151&lt;&gt;"Sim"),"Pendente","OK"))</f>
        <v/>
      </c>
    </row>
    <row r="152" customFormat="false" ht="15" hidden="false" customHeight="false" outlineLevel="0" collapsed="false">
      <c r="B152" s="26"/>
      <c r="C152" s="27"/>
      <c r="D152" s="28"/>
      <c r="E152" s="27"/>
      <c r="F152" s="29"/>
      <c r="G152" s="29"/>
      <c r="H152" s="31" t="str">
        <f aca="false">IF(F152="","",F152-N(G152))</f>
        <v/>
      </c>
      <c r="I152" s="27"/>
      <c r="J152" s="30" t="str">
        <f aca="false">IF(COUNTA(B152:G152,I152)=0,"",IF(OR(E152="",F152="",I152&lt;&gt;"Sim"),"Pendente","OK"))</f>
        <v/>
      </c>
    </row>
    <row r="153" customFormat="false" ht="15" hidden="false" customHeight="false" outlineLevel="0" collapsed="false">
      <c r="B153" s="26"/>
      <c r="C153" s="27"/>
      <c r="D153" s="28"/>
      <c r="E153" s="27"/>
      <c r="F153" s="29"/>
      <c r="G153" s="29"/>
      <c r="H153" s="31" t="str">
        <f aca="false">IF(F153="","",F153-N(G153))</f>
        <v/>
      </c>
      <c r="I153" s="27"/>
      <c r="J153" s="30" t="str">
        <f aca="false">IF(COUNTA(B153:G153,I153)=0,"",IF(OR(E153="",F153="",I153&lt;&gt;"Sim"),"Pendente","OK"))</f>
        <v/>
      </c>
    </row>
    <row r="154" customFormat="false" ht="15" hidden="false" customHeight="false" outlineLevel="0" collapsed="false">
      <c r="B154" s="26"/>
      <c r="C154" s="27"/>
      <c r="D154" s="28"/>
      <c r="E154" s="27"/>
      <c r="F154" s="29"/>
      <c r="G154" s="29"/>
      <c r="H154" s="31" t="str">
        <f aca="false">IF(F154="","",F154-N(G154))</f>
        <v/>
      </c>
      <c r="I154" s="27"/>
      <c r="J154" s="30" t="str">
        <f aca="false">IF(COUNTA(B154:G154,I154)=0,"",IF(OR(E154="",F154="",I154&lt;&gt;"Sim"),"Pendente","OK"))</f>
        <v/>
      </c>
    </row>
    <row r="155" customFormat="false" ht="15" hidden="false" customHeight="false" outlineLevel="0" collapsed="false">
      <c r="B155" s="26"/>
      <c r="C155" s="27"/>
      <c r="D155" s="28"/>
      <c r="E155" s="27"/>
      <c r="F155" s="29"/>
      <c r="G155" s="29"/>
      <c r="H155" s="31" t="str">
        <f aca="false">IF(F155="","",F155-N(G155))</f>
        <v/>
      </c>
      <c r="I155" s="27"/>
      <c r="J155" s="30" t="str">
        <f aca="false">IF(COUNTA(B155:G155,I155)=0,"",IF(OR(E155="",F155="",I155&lt;&gt;"Sim"),"Pendente","OK"))</f>
        <v/>
      </c>
    </row>
    <row r="156" customFormat="false" ht="15" hidden="false" customHeight="false" outlineLevel="0" collapsed="false">
      <c r="B156" s="26"/>
      <c r="C156" s="27"/>
      <c r="D156" s="28"/>
      <c r="E156" s="27"/>
      <c r="F156" s="29"/>
      <c r="G156" s="29"/>
      <c r="H156" s="31" t="str">
        <f aca="false">IF(F156="","",F156-N(G156))</f>
        <v/>
      </c>
      <c r="I156" s="27"/>
      <c r="J156" s="30" t="str">
        <f aca="false">IF(COUNTA(B156:G156,I156)=0,"",IF(OR(E156="",F156="",I156&lt;&gt;"Sim"),"Pendente","OK"))</f>
        <v/>
      </c>
    </row>
    <row r="157" customFormat="false" ht="15" hidden="false" customHeight="false" outlineLevel="0" collapsed="false">
      <c r="B157" s="26"/>
      <c r="C157" s="27"/>
      <c r="D157" s="28"/>
      <c r="E157" s="27"/>
      <c r="F157" s="29"/>
      <c r="G157" s="29"/>
      <c r="H157" s="31" t="str">
        <f aca="false">IF(F157="","",F157-N(G157))</f>
        <v/>
      </c>
      <c r="I157" s="27"/>
      <c r="J157" s="30" t="str">
        <f aca="false">IF(COUNTA(B157:G157,I157)=0,"",IF(OR(E157="",F157="",I157&lt;&gt;"Sim"),"Pendente","OK"))</f>
        <v/>
      </c>
    </row>
    <row r="158" customFormat="false" ht="15" hidden="false" customHeight="false" outlineLevel="0" collapsed="false">
      <c r="B158" s="26"/>
      <c r="C158" s="27"/>
      <c r="D158" s="28"/>
      <c r="E158" s="27"/>
      <c r="F158" s="29"/>
      <c r="G158" s="29"/>
      <c r="H158" s="31" t="str">
        <f aca="false">IF(F158="","",F158-N(G158))</f>
        <v/>
      </c>
      <c r="I158" s="27"/>
      <c r="J158" s="30" t="str">
        <f aca="false">IF(COUNTA(B158:G158,I158)=0,"",IF(OR(E158="",F158="",I158&lt;&gt;"Sim"),"Pendente","OK"))</f>
        <v/>
      </c>
    </row>
    <row r="159" customFormat="false" ht="15" hidden="false" customHeight="false" outlineLevel="0" collapsed="false">
      <c r="B159" s="26"/>
      <c r="C159" s="27"/>
      <c r="D159" s="28"/>
      <c r="E159" s="27"/>
      <c r="F159" s="29"/>
      <c r="G159" s="29"/>
      <c r="H159" s="31" t="str">
        <f aca="false">IF(F159="","",F159-N(G159))</f>
        <v/>
      </c>
      <c r="I159" s="27"/>
      <c r="J159" s="30" t="str">
        <f aca="false">IF(COUNTA(B159:G159,I159)=0,"",IF(OR(E159="",F159="",I159&lt;&gt;"Sim"),"Pendente","OK"))</f>
        <v/>
      </c>
    </row>
    <row r="160" customFormat="false" ht="15" hidden="false" customHeight="false" outlineLevel="0" collapsed="false">
      <c r="B160" s="26"/>
      <c r="C160" s="27"/>
      <c r="D160" s="28"/>
      <c r="E160" s="27"/>
      <c r="F160" s="29"/>
      <c r="G160" s="29"/>
      <c r="H160" s="31" t="str">
        <f aca="false">IF(F160="","",F160-N(G160))</f>
        <v/>
      </c>
      <c r="I160" s="27"/>
      <c r="J160" s="30" t="str">
        <f aca="false">IF(COUNTA(B160:G160,I160)=0,"",IF(OR(E160="",F160="",I160&lt;&gt;"Sim"),"Pendente","OK"))</f>
        <v/>
      </c>
    </row>
    <row r="161" customFormat="false" ht="15" hidden="false" customHeight="false" outlineLevel="0" collapsed="false">
      <c r="B161" s="26"/>
      <c r="C161" s="27"/>
      <c r="D161" s="28"/>
      <c r="E161" s="27"/>
      <c r="F161" s="29"/>
      <c r="G161" s="29"/>
      <c r="H161" s="31" t="str">
        <f aca="false">IF(F161="","",F161-N(G161))</f>
        <v/>
      </c>
      <c r="I161" s="27"/>
      <c r="J161" s="30" t="str">
        <f aca="false">IF(COUNTA(B161:G161,I161)=0,"",IF(OR(E161="",F161="",I161&lt;&gt;"Sim"),"Pendente","OK"))</f>
        <v/>
      </c>
    </row>
    <row r="162" customFormat="false" ht="15" hidden="false" customHeight="false" outlineLevel="0" collapsed="false">
      <c r="B162" s="26"/>
      <c r="C162" s="27"/>
      <c r="D162" s="28"/>
      <c r="E162" s="27"/>
      <c r="F162" s="29"/>
      <c r="G162" s="29"/>
      <c r="H162" s="31" t="str">
        <f aca="false">IF(F162="","",F162-N(G162))</f>
        <v/>
      </c>
      <c r="I162" s="27"/>
      <c r="J162" s="30" t="str">
        <f aca="false">IF(COUNTA(B162:G162,I162)=0,"",IF(OR(E162="",F162="",I162&lt;&gt;"Sim"),"Pendente","OK"))</f>
        <v/>
      </c>
    </row>
    <row r="163" customFormat="false" ht="15" hidden="false" customHeight="false" outlineLevel="0" collapsed="false">
      <c r="B163" s="26"/>
      <c r="C163" s="27"/>
      <c r="D163" s="28"/>
      <c r="E163" s="27"/>
      <c r="F163" s="29"/>
      <c r="G163" s="29"/>
      <c r="H163" s="31" t="str">
        <f aca="false">IF(F163="","",F163-N(G163))</f>
        <v/>
      </c>
      <c r="I163" s="27"/>
      <c r="J163" s="30" t="str">
        <f aca="false">IF(COUNTA(B163:G163,I163)=0,"",IF(OR(E163="",F163="",I163&lt;&gt;"Sim"),"Pendente","OK"))</f>
        <v/>
      </c>
    </row>
    <row r="164" customFormat="false" ht="15" hidden="false" customHeight="false" outlineLevel="0" collapsed="false">
      <c r="B164" s="26"/>
      <c r="C164" s="27"/>
      <c r="D164" s="28"/>
      <c r="E164" s="27"/>
      <c r="F164" s="29"/>
      <c r="G164" s="29"/>
      <c r="H164" s="31" t="str">
        <f aca="false">IF(F164="","",F164-N(G164))</f>
        <v/>
      </c>
      <c r="I164" s="27"/>
      <c r="J164" s="30" t="str">
        <f aca="false">IF(COUNTA(B164:G164,I164)=0,"",IF(OR(E164="",F164="",I164&lt;&gt;"Sim"),"Pendente","OK"))</f>
        <v/>
      </c>
    </row>
    <row r="165" customFormat="false" ht="15" hidden="false" customHeight="false" outlineLevel="0" collapsed="false">
      <c r="B165" s="26"/>
      <c r="C165" s="27"/>
      <c r="D165" s="28"/>
      <c r="E165" s="27"/>
      <c r="F165" s="29"/>
      <c r="G165" s="29"/>
      <c r="H165" s="31" t="str">
        <f aca="false">IF(F165="","",F165-N(G165))</f>
        <v/>
      </c>
      <c r="I165" s="27"/>
      <c r="J165" s="30" t="str">
        <f aca="false">IF(COUNTA(B165:G165,I165)=0,"",IF(OR(E165="",F165="",I165&lt;&gt;"Sim"),"Pendente","OK"))</f>
        <v/>
      </c>
    </row>
    <row r="166" customFormat="false" ht="15" hidden="false" customHeight="false" outlineLevel="0" collapsed="false">
      <c r="B166" s="26"/>
      <c r="C166" s="27"/>
      <c r="D166" s="28"/>
      <c r="E166" s="27"/>
      <c r="F166" s="29"/>
      <c r="G166" s="29"/>
      <c r="H166" s="31" t="str">
        <f aca="false">IF(F166="","",F166-N(G166))</f>
        <v/>
      </c>
      <c r="I166" s="27"/>
      <c r="J166" s="30" t="str">
        <f aca="false">IF(COUNTA(B166:G166,I166)=0,"",IF(OR(E166="",F166="",I166&lt;&gt;"Sim"),"Pendente","OK"))</f>
        <v/>
      </c>
    </row>
    <row r="167" customFormat="false" ht="15" hidden="false" customHeight="false" outlineLevel="0" collapsed="false">
      <c r="B167" s="26"/>
      <c r="C167" s="27"/>
      <c r="D167" s="28"/>
      <c r="E167" s="27"/>
      <c r="F167" s="29"/>
      <c r="G167" s="29"/>
      <c r="H167" s="31" t="str">
        <f aca="false">IF(F167="","",F167-N(G167))</f>
        <v/>
      </c>
      <c r="I167" s="27"/>
      <c r="J167" s="30" t="str">
        <f aca="false">IF(COUNTA(B167:G167,I167)=0,"",IF(OR(E167="",F167="",I167&lt;&gt;"Sim"),"Pendente","OK"))</f>
        <v/>
      </c>
    </row>
    <row r="168" customFormat="false" ht="15" hidden="false" customHeight="false" outlineLevel="0" collapsed="false">
      <c r="B168" s="26"/>
      <c r="C168" s="27"/>
      <c r="D168" s="28"/>
      <c r="E168" s="27"/>
      <c r="F168" s="29"/>
      <c r="G168" s="29"/>
      <c r="H168" s="31" t="str">
        <f aca="false">IF(F168="","",F168-N(G168))</f>
        <v/>
      </c>
      <c r="I168" s="27"/>
      <c r="J168" s="30" t="str">
        <f aca="false">IF(COUNTA(B168:G168,I168)=0,"",IF(OR(E168="",F168="",I168&lt;&gt;"Sim"),"Pendente","OK"))</f>
        <v/>
      </c>
    </row>
    <row r="169" customFormat="false" ht="15" hidden="false" customHeight="false" outlineLevel="0" collapsed="false">
      <c r="B169" s="26"/>
      <c r="C169" s="27"/>
      <c r="D169" s="28"/>
      <c r="E169" s="27"/>
      <c r="F169" s="29"/>
      <c r="G169" s="29"/>
      <c r="H169" s="31" t="str">
        <f aca="false">IF(F169="","",F169-N(G169))</f>
        <v/>
      </c>
      <c r="I169" s="27"/>
      <c r="J169" s="30" t="str">
        <f aca="false">IF(COUNTA(B169:G169,I169)=0,"",IF(OR(E169="",F169="",I169&lt;&gt;"Sim"),"Pendente","OK"))</f>
        <v/>
      </c>
    </row>
    <row r="170" customFormat="false" ht="15" hidden="false" customHeight="false" outlineLevel="0" collapsed="false">
      <c r="B170" s="26"/>
      <c r="C170" s="27"/>
      <c r="D170" s="28"/>
      <c r="E170" s="27"/>
      <c r="F170" s="29"/>
      <c r="G170" s="29"/>
      <c r="H170" s="31" t="str">
        <f aca="false">IF(F170="","",F170-N(G170))</f>
        <v/>
      </c>
      <c r="I170" s="27"/>
      <c r="J170" s="30" t="str">
        <f aca="false">IF(COUNTA(B170:G170,I170)=0,"",IF(OR(E170="",F170="",I170&lt;&gt;"Sim"),"Pendente","OK"))</f>
        <v/>
      </c>
    </row>
    <row r="171" customFormat="false" ht="15" hidden="false" customHeight="false" outlineLevel="0" collapsed="false">
      <c r="B171" s="26"/>
      <c r="C171" s="27"/>
      <c r="D171" s="28"/>
      <c r="E171" s="27"/>
      <c r="F171" s="29"/>
      <c r="G171" s="29"/>
      <c r="H171" s="31" t="str">
        <f aca="false">IF(F171="","",F171-N(G171))</f>
        <v/>
      </c>
      <c r="I171" s="27"/>
      <c r="J171" s="30" t="str">
        <f aca="false">IF(COUNTA(B171:G171,I171)=0,"",IF(OR(E171="",F171="",I171&lt;&gt;"Sim"),"Pendente","OK"))</f>
        <v/>
      </c>
    </row>
    <row r="172" customFormat="false" ht="15" hidden="false" customHeight="false" outlineLevel="0" collapsed="false">
      <c r="B172" s="26"/>
      <c r="C172" s="27"/>
      <c r="D172" s="28"/>
      <c r="E172" s="27"/>
      <c r="F172" s="29"/>
      <c r="G172" s="29"/>
      <c r="H172" s="31" t="str">
        <f aca="false">IF(F172="","",F172-N(G172))</f>
        <v/>
      </c>
      <c r="I172" s="27"/>
      <c r="J172" s="30" t="str">
        <f aca="false">IF(COUNTA(B172:G172,I172)=0,"",IF(OR(E172="",F172="",I172&lt;&gt;"Sim"),"Pendente","OK"))</f>
        <v/>
      </c>
    </row>
    <row r="173" customFormat="false" ht="15" hidden="false" customHeight="false" outlineLevel="0" collapsed="false">
      <c r="B173" s="26"/>
      <c r="C173" s="27"/>
      <c r="D173" s="28"/>
      <c r="E173" s="27"/>
      <c r="F173" s="29"/>
      <c r="G173" s="29"/>
      <c r="H173" s="31" t="str">
        <f aca="false">IF(F173="","",F173-N(G173))</f>
        <v/>
      </c>
      <c r="I173" s="27"/>
      <c r="J173" s="30" t="str">
        <f aca="false">IF(COUNTA(B173:G173,I173)=0,"",IF(OR(E173="",F173="",I173&lt;&gt;"Sim"),"Pendente","OK"))</f>
        <v/>
      </c>
    </row>
    <row r="174" customFormat="false" ht="15" hidden="false" customHeight="false" outlineLevel="0" collapsed="false">
      <c r="B174" s="26"/>
      <c r="C174" s="27"/>
      <c r="D174" s="28"/>
      <c r="E174" s="27"/>
      <c r="F174" s="29"/>
      <c r="G174" s="29"/>
      <c r="H174" s="31" t="str">
        <f aca="false">IF(F174="","",F174-N(G174))</f>
        <v/>
      </c>
      <c r="I174" s="27"/>
      <c r="J174" s="30" t="str">
        <f aca="false">IF(COUNTA(B174:G174,I174)=0,"",IF(OR(E174="",F174="",I174&lt;&gt;"Sim"),"Pendente","OK"))</f>
        <v/>
      </c>
    </row>
    <row r="175" customFormat="false" ht="15" hidden="false" customHeight="false" outlineLevel="0" collapsed="false">
      <c r="B175" s="26"/>
      <c r="C175" s="27"/>
      <c r="D175" s="28"/>
      <c r="E175" s="27"/>
      <c r="F175" s="29"/>
      <c r="G175" s="29"/>
      <c r="H175" s="31" t="str">
        <f aca="false">IF(F175="","",F175-N(G175))</f>
        <v/>
      </c>
      <c r="I175" s="27"/>
      <c r="J175" s="30" t="str">
        <f aca="false">IF(COUNTA(B175:G175,I175)=0,"",IF(OR(E175="",F175="",I175&lt;&gt;"Sim"),"Pendente","OK"))</f>
        <v/>
      </c>
    </row>
    <row r="176" customFormat="false" ht="15" hidden="false" customHeight="false" outlineLevel="0" collapsed="false">
      <c r="B176" s="26"/>
      <c r="C176" s="27"/>
      <c r="D176" s="28"/>
      <c r="E176" s="27"/>
      <c r="F176" s="29"/>
      <c r="G176" s="29"/>
      <c r="H176" s="31" t="str">
        <f aca="false">IF(F176="","",F176-N(G176))</f>
        <v/>
      </c>
      <c r="I176" s="27"/>
      <c r="J176" s="30" t="str">
        <f aca="false">IF(COUNTA(B176:G176,I176)=0,"",IF(OR(E176="",F176="",I176&lt;&gt;"Sim"),"Pendente","OK"))</f>
        <v/>
      </c>
    </row>
    <row r="177" customFormat="false" ht="15" hidden="false" customHeight="false" outlineLevel="0" collapsed="false">
      <c r="B177" s="26"/>
      <c r="C177" s="27"/>
      <c r="D177" s="28"/>
      <c r="E177" s="27"/>
      <c r="F177" s="29"/>
      <c r="G177" s="29"/>
      <c r="H177" s="31" t="str">
        <f aca="false">IF(F177="","",F177-N(G177))</f>
        <v/>
      </c>
      <c r="I177" s="27"/>
      <c r="J177" s="30" t="str">
        <f aca="false">IF(COUNTA(B177:G177,I177)=0,"",IF(OR(E177="",F177="",I177&lt;&gt;"Sim"),"Pendente","OK"))</f>
        <v/>
      </c>
    </row>
    <row r="178" customFormat="false" ht="15" hidden="false" customHeight="false" outlineLevel="0" collapsed="false">
      <c r="B178" s="26"/>
      <c r="C178" s="27"/>
      <c r="D178" s="28"/>
      <c r="E178" s="27"/>
      <c r="F178" s="29"/>
      <c r="G178" s="29"/>
      <c r="H178" s="31" t="str">
        <f aca="false">IF(F178="","",F178-N(G178))</f>
        <v/>
      </c>
      <c r="I178" s="27"/>
      <c r="J178" s="30" t="str">
        <f aca="false">IF(COUNTA(B178:G178,I178)=0,"",IF(OR(E178="",F178="",I178&lt;&gt;"Sim"),"Pendente","OK"))</f>
        <v/>
      </c>
    </row>
    <row r="179" customFormat="false" ht="15" hidden="false" customHeight="false" outlineLevel="0" collapsed="false">
      <c r="B179" s="26"/>
      <c r="C179" s="27"/>
      <c r="D179" s="28"/>
      <c r="E179" s="27"/>
      <c r="F179" s="29"/>
      <c r="G179" s="29"/>
      <c r="H179" s="31" t="str">
        <f aca="false">IF(F179="","",F179-N(G179))</f>
        <v/>
      </c>
      <c r="I179" s="27"/>
      <c r="J179" s="30" t="str">
        <f aca="false">IF(COUNTA(B179:G179,I179)=0,"",IF(OR(E179="",F179="",I179&lt;&gt;"Sim"),"Pendente","OK"))</f>
        <v/>
      </c>
    </row>
    <row r="180" customFormat="false" ht="15" hidden="false" customHeight="false" outlineLevel="0" collapsed="false">
      <c r="B180" s="26"/>
      <c r="C180" s="27"/>
      <c r="D180" s="28"/>
      <c r="E180" s="27"/>
      <c r="F180" s="29"/>
      <c r="G180" s="29"/>
      <c r="H180" s="31" t="str">
        <f aca="false">IF(F180="","",F180-N(G180))</f>
        <v/>
      </c>
      <c r="I180" s="27"/>
      <c r="J180" s="30" t="str">
        <f aca="false">IF(COUNTA(B180:G180,I180)=0,"",IF(OR(E180="",F180="",I180&lt;&gt;"Sim"),"Pendente","OK"))</f>
        <v/>
      </c>
    </row>
    <row r="181" customFormat="false" ht="15" hidden="false" customHeight="false" outlineLevel="0" collapsed="false">
      <c r="B181" s="26"/>
      <c r="C181" s="27"/>
      <c r="D181" s="28"/>
      <c r="E181" s="27"/>
      <c r="F181" s="29"/>
      <c r="G181" s="29"/>
      <c r="H181" s="31" t="str">
        <f aca="false">IF(F181="","",F181-N(G181))</f>
        <v/>
      </c>
      <c r="I181" s="27"/>
      <c r="J181" s="30" t="str">
        <f aca="false">IF(COUNTA(B181:G181,I181)=0,"",IF(OR(E181="",F181="",I181&lt;&gt;"Sim"),"Pendente","OK"))</f>
        <v/>
      </c>
    </row>
    <row r="182" customFormat="false" ht="15" hidden="false" customHeight="false" outlineLevel="0" collapsed="false">
      <c r="B182" s="26"/>
      <c r="C182" s="27"/>
      <c r="D182" s="28"/>
      <c r="E182" s="27"/>
      <c r="F182" s="29"/>
      <c r="G182" s="29"/>
      <c r="H182" s="31" t="str">
        <f aca="false">IF(F182="","",F182-N(G182))</f>
        <v/>
      </c>
      <c r="I182" s="27"/>
      <c r="J182" s="30" t="str">
        <f aca="false">IF(COUNTA(B182:G182,I182)=0,"",IF(OR(E182="",F182="",I182&lt;&gt;"Sim"),"Pendente","OK"))</f>
        <v/>
      </c>
    </row>
    <row r="183" customFormat="false" ht="15" hidden="false" customHeight="false" outlineLevel="0" collapsed="false">
      <c r="B183" s="26"/>
      <c r="C183" s="27"/>
      <c r="D183" s="28"/>
      <c r="E183" s="27"/>
      <c r="F183" s="29"/>
      <c r="G183" s="29"/>
      <c r="H183" s="31" t="str">
        <f aca="false">IF(F183="","",F183-N(G183))</f>
        <v/>
      </c>
      <c r="I183" s="27"/>
      <c r="J183" s="30" t="str">
        <f aca="false">IF(COUNTA(B183:G183,I183)=0,"",IF(OR(E183="",F183="",I183&lt;&gt;"Sim"),"Pendente","OK"))</f>
        <v/>
      </c>
    </row>
    <row r="184" customFormat="false" ht="15" hidden="false" customHeight="false" outlineLevel="0" collapsed="false">
      <c r="B184" s="26"/>
      <c r="C184" s="27"/>
      <c r="D184" s="28"/>
      <c r="E184" s="27"/>
      <c r="F184" s="29"/>
      <c r="G184" s="29"/>
      <c r="H184" s="31" t="str">
        <f aca="false">IF(F184="","",F184-N(G184))</f>
        <v/>
      </c>
      <c r="I184" s="27"/>
      <c r="J184" s="30" t="str">
        <f aca="false">IF(COUNTA(B184:G184,I184)=0,"",IF(OR(E184="",F184="",I184&lt;&gt;"Sim"),"Pendente","OK"))</f>
        <v/>
      </c>
    </row>
    <row r="185" customFormat="false" ht="15" hidden="false" customHeight="false" outlineLevel="0" collapsed="false">
      <c r="B185" s="26"/>
      <c r="C185" s="27"/>
      <c r="D185" s="28"/>
      <c r="E185" s="27"/>
      <c r="F185" s="29"/>
      <c r="G185" s="29"/>
      <c r="H185" s="31" t="str">
        <f aca="false">IF(F185="","",F185-N(G185))</f>
        <v/>
      </c>
      <c r="I185" s="27"/>
      <c r="J185" s="30" t="str">
        <f aca="false">IF(COUNTA(B185:G185,I185)=0,"",IF(OR(E185="",F185="",I185&lt;&gt;"Sim"),"Pendente","OK"))</f>
        <v/>
      </c>
    </row>
    <row r="186" customFormat="false" ht="15" hidden="false" customHeight="false" outlineLevel="0" collapsed="false">
      <c r="B186" s="26"/>
      <c r="C186" s="27"/>
      <c r="D186" s="28"/>
      <c r="E186" s="27"/>
      <c r="F186" s="29"/>
      <c r="G186" s="29"/>
      <c r="H186" s="31" t="str">
        <f aca="false">IF(F186="","",F186-N(G186))</f>
        <v/>
      </c>
      <c r="I186" s="27"/>
      <c r="J186" s="30" t="str">
        <f aca="false">IF(COUNTA(B186:G186,I186)=0,"",IF(OR(E186="",F186="",I186&lt;&gt;"Sim"),"Pendente","OK"))</f>
        <v/>
      </c>
    </row>
    <row r="187" customFormat="false" ht="15" hidden="false" customHeight="false" outlineLevel="0" collapsed="false">
      <c r="B187" s="26"/>
      <c r="C187" s="27"/>
      <c r="D187" s="28"/>
      <c r="E187" s="27"/>
      <c r="F187" s="29"/>
      <c r="G187" s="29"/>
      <c r="H187" s="31" t="str">
        <f aca="false">IF(F187="","",F187-N(G187))</f>
        <v/>
      </c>
      <c r="I187" s="27"/>
      <c r="J187" s="30" t="str">
        <f aca="false">IF(COUNTA(B187:G187,I187)=0,"",IF(OR(E187="",F187="",I187&lt;&gt;"Sim"),"Pendente","OK"))</f>
        <v/>
      </c>
    </row>
    <row r="188" customFormat="false" ht="15" hidden="false" customHeight="false" outlineLevel="0" collapsed="false">
      <c r="B188" s="26"/>
      <c r="C188" s="27"/>
      <c r="D188" s="28"/>
      <c r="E188" s="27"/>
      <c r="F188" s="29"/>
      <c r="G188" s="29"/>
      <c r="H188" s="31" t="str">
        <f aca="false">IF(F188="","",F188-N(G188))</f>
        <v/>
      </c>
      <c r="I188" s="27"/>
      <c r="J188" s="30" t="str">
        <f aca="false">IF(COUNTA(B188:G188,I188)=0,"",IF(OR(E188="",F188="",I188&lt;&gt;"Sim"),"Pendente","OK"))</f>
        <v/>
      </c>
    </row>
    <row r="189" customFormat="false" ht="15" hidden="false" customHeight="false" outlineLevel="0" collapsed="false">
      <c r="B189" s="26"/>
      <c r="C189" s="27"/>
      <c r="D189" s="28"/>
      <c r="E189" s="27"/>
      <c r="F189" s="29"/>
      <c r="G189" s="29"/>
      <c r="H189" s="31" t="str">
        <f aca="false">IF(F189="","",F189-N(G189))</f>
        <v/>
      </c>
      <c r="I189" s="27"/>
      <c r="J189" s="30" t="str">
        <f aca="false">IF(COUNTA(B189:G189,I189)=0,"",IF(OR(E189="",F189="",I189&lt;&gt;"Sim"),"Pendente","OK"))</f>
        <v/>
      </c>
    </row>
    <row r="190" customFormat="false" ht="15" hidden="false" customHeight="false" outlineLevel="0" collapsed="false">
      <c r="B190" s="26"/>
      <c r="C190" s="27"/>
      <c r="D190" s="28"/>
      <c r="E190" s="27"/>
      <c r="F190" s="29"/>
      <c r="G190" s="29"/>
      <c r="H190" s="31" t="str">
        <f aca="false">IF(F190="","",F190-N(G190))</f>
        <v/>
      </c>
      <c r="I190" s="27"/>
      <c r="J190" s="30" t="str">
        <f aca="false">IF(COUNTA(B190:G190,I190)=0,"",IF(OR(E190="",F190="",I190&lt;&gt;"Sim"),"Pendente","OK"))</f>
        <v/>
      </c>
    </row>
    <row r="191" customFormat="false" ht="15" hidden="false" customHeight="false" outlineLevel="0" collapsed="false">
      <c r="B191" s="26"/>
      <c r="C191" s="27"/>
      <c r="D191" s="28"/>
      <c r="E191" s="27"/>
      <c r="F191" s="29"/>
      <c r="G191" s="29"/>
      <c r="H191" s="31" t="str">
        <f aca="false">IF(F191="","",F191-N(G191))</f>
        <v/>
      </c>
      <c r="I191" s="27"/>
      <c r="J191" s="30" t="str">
        <f aca="false">IF(COUNTA(B191:G191,I191)=0,"",IF(OR(E191="",F191="",I191&lt;&gt;"Sim"),"Pendente","OK"))</f>
        <v/>
      </c>
    </row>
    <row r="192" customFormat="false" ht="15" hidden="false" customHeight="false" outlineLevel="0" collapsed="false">
      <c r="B192" s="26"/>
      <c r="C192" s="27"/>
      <c r="D192" s="28"/>
      <c r="E192" s="27"/>
      <c r="F192" s="29"/>
      <c r="G192" s="29"/>
      <c r="H192" s="31" t="str">
        <f aca="false">IF(F192="","",F192-N(G192))</f>
        <v/>
      </c>
      <c r="I192" s="27"/>
      <c r="J192" s="30" t="str">
        <f aca="false">IF(COUNTA(B192:G192,I192)=0,"",IF(OR(E192="",F192="",I192&lt;&gt;"Sim"),"Pendente","OK"))</f>
        <v/>
      </c>
    </row>
    <row r="193" customFormat="false" ht="15" hidden="false" customHeight="false" outlineLevel="0" collapsed="false">
      <c r="B193" s="26"/>
      <c r="C193" s="27"/>
      <c r="D193" s="28"/>
      <c r="E193" s="27"/>
      <c r="F193" s="29"/>
      <c r="G193" s="29"/>
      <c r="H193" s="31" t="str">
        <f aca="false">IF(F193="","",F193-N(G193))</f>
        <v/>
      </c>
      <c r="I193" s="27"/>
      <c r="J193" s="30" t="str">
        <f aca="false">IF(COUNTA(B193:G193,I193)=0,"",IF(OR(E193="",F193="",I193&lt;&gt;"Sim"),"Pendente","OK"))</f>
        <v/>
      </c>
    </row>
    <row r="194" customFormat="false" ht="15" hidden="false" customHeight="false" outlineLevel="0" collapsed="false">
      <c r="B194" s="26"/>
      <c r="C194" s="27"/>
      <c r="D194" s="28"/>
      <c r="E194" s="27"/>
      <c r="F194" s="29"/>
      <c r="G194" s="29"/>
      <c r="H194" s="31" t="str">
        <f aca="false">IF(F194="","",F194-N(G194))</f>
        <v/>
      </c>
      <c r="I194" s="27"/>
      <c r="J194" s="30" t="str">
        <f aca="false">IF(COUNTA(B194:G194,I194)=0,"",IF(OR(E194="",F194="",I194&lt;&gt;"Sim"),"Pendente","OK"))</f>
        <v/>
      </c>
    </row>
    <row r="195" customFormat="false" ht="15" hidden="false" customHeight="false" outlineLevel="0" collapsed="false">
      <c r="B195" s="26"/>
      <c r="C195" s="27"/>
      <c r="D195" s="28"/>
      <c r="E195" s="27"/>
      <c r="F195" s="29"/>
      <c r="G195" s="29"/>
      <c r="H195" s="31" t="str">
        <f aca="false">IF(F195="","",F195-N(G195))</f>
        <v/>
      </c>
      <c r="I195" s="27"/>
      <c r="J195" s="30" t="str">
        <f aca="false">IF(COUNTA(B195:G195,I195)=0,"",IF(OR(E195="",F195="",I195&lt;&gt;"Sim"),"Pendente","OK"))</f>
        <v/>
      </c>
    </row>
    <row r="196" customFormat="false" ht="15" hidden="false" customHeight="false" outlineLevel="0" collapsed="false">
      <c r="B196" s="26"/>
      <c r="C196" s="27"/>
      <c r="D196" s="28"/>
      <c r="E196" s="27"/>
      <c r="F196" s="29"/>
      <c r="G196" s="29"/>
      <c r="H196" s="31" t="str">
        <f aca="false">IF(F196="","",F196-N(G196))</f>
        <v/>
      </c>
      <c r="I196" s="27"/>
      <c r="J196" s="30" t="str">
        <f aca="false">IF(COUNTA(B196:G196,I196)=0,"",IF(OR(E196="",F196="",I196&lt;&gt;"Sim"),"Pendente","OK"))</f>
        <v/>
      </c>
    </row>
    <row r="197" customFormat="false" ht="15" hidden="false" customHeight="false" outlineLevel="0" collapsed="false">
      <c r="B197" s="26"/>
      <c r="C197" s="27"/>
      <c r="D197" s="28"/>
      <c r="E197" s="27"/>
      <c r="F197" s="29"/>
      <c r="G197" s="29"/>
      <c r="H197" s="31" t="str">
        <f aca="false">IF(F197="","",F197-N(G197))</f>
        <v/>
      </c>
      <c r="I197" s="27"/>
      <c r="J197" s="30" t="str">
        <f aca="false">IF(COUNTA(B197:G197,I197)=0,"",IF(OR(E197="",F197="",I197&lt;&gt;"Sim"),"Pendente","OK"))</f>
        <v/>
      </c>
    </row>
    <row r="198" customFormat="false" ht="15" hidden="false" customHeight="false" outlineLevel="0" collapsed="false">
      <c r="B198" s="26"/>
      <c r="C198" s="27"/>
      <c r="D198" s="28"/>
      <c r="E198" s="27"/>
      <c r="F198" s="29"/>
      <c r="G198" s="29"/>
      <c r="H198" s="31" t="str">
        <f aca="false">IF(F198="","",F198-N(G198))</f>
        <v/>
      </c>
      <c r="I198" s="27"/>
      <c r="J198" s="30" t="str">
        <f aca="false">IF(COUNTA(B198:G198,I198)=0,"",IF(OR(E198="",F198="",I198&lt;&gt;"Sim"),"Pendente","OK"))</f>
        <v/>
      </c>
    </row>
    <row r="199" customFormat="false" ht="15" hidden="false" customHeight="false" outlineLevel="0" collapsed="false">
      <c r="B199" s="26"/>
      <c r="C199" s="27"/>
      <c r="D199" s="28"/>
      <c r="E199" s="27"/>
      <c r="F199" s="29"/>
      <c r="G199" s="29"/>
      <c r="H199" s="31" t="str">
        <f aca="false">IF(F199="","",F199-N(G199))</f>
        <v/>
      </c>
      <c r="I199" s="27"/>
      <c r="J199" s="30" t="str">
        <f aca="false">IF(COUNTA(B199:G199,I199)=0,"",IF(OR(E199="",F199="",I199&lt;&gt;"Sim"),"Pendente","OK"))</f>
        <v/>
      </c>
    </row>
    <row r="200" customFormat="false" ht="15" hidden="false" customHeight="false" outlineLevel="0" collapsed="false">
      <c r="B200" s="26"/>
      <c r="C200" s="27"/>
      <c r="D200" s="28"/>
      <c r="E200" s="27"/>
      <c r="F200" s="29"/>
      <c r="G200" s="29"/>
      <c r="H200" s="31" t="str">
        <f aca="false">IF(F200="","",F200-N(G200))</f>
        <v/>
      </c>
      <c r="I200" s="27"/>
      <c r="J200" s="30" t="str">
        <f aca="false">IF(COUNTA(B200:G200,I200)=0,"",IF(OR(E200="",F200="",I200&lt;&gt;"Sim"),"Pendente","OK"))</f>
        <v/>
      </c>
    </row>
    <row r="201" customFormat="false" ht="15" hidden="false" customHeight="false" outlineLevel="0" collapsed="false">
      <c r="B201" s="26"/>
      <c r="C201" s="27"/>
      <c r="D201" s="28"/>
      <c r="E201" s="27"/>
      <c r="F201" s="29"/>
      <c r="G201" s="29"/>
      <c r="H201" s="31" t="str">
        <f aca="false">IF(F201="","",F201-N(G201))</f>
        <v/>
      </c>
      <c r="I201" s="27"/>
      <c r="J201" s="30" t="str">
        <f aca="false">IF(COUNTA(B201:G201,I201)=0,"",IF(OR(E201="",F201="",I201&lt;&gt;"Sim"),"Pendente","OK"))</f>
        <v/>
      </c>
    </row>
    <row r="202" customFormat="false" ht="15" hidden="false" customHeight="false" outlineLevel="0" collapsed="false">
      <c r="B202" s="26"/>
      <c r="C202" s="27"/>
      <c r="D202" s="28"/>
      <c r="E202" s="27"/>
      <c r="F202" s="29"/>
      <c r="G202" s="29"/>
      <c r="H202" s="31" t="str">
        <f aca="false">IF(F202="","",F202-N(G202))</f>
        <v/>
      </c>
      <c r="I202" s="27"/>
      <c r="J202" s="30" t="str">
        <f aca="false">IF(COUNTA(B202:G202,I202)=0,"",IF(OR(E202="",F202="",I202&lt;&gt;"Sim"),"Pendente","OK"))</f>
        <v/>
      </c>
    </row>
    <row r="203" customFormat="false" ht="15" hidden="false" customHeight="false" outlineLevel="0" collapsed="false">
      <c r="B203" s="26"/>
      <c r="C203" s="27"/>
      <c r="D203" s="28"/>
      <c r="E203" s="27"/>
      <c r="F203" s="29"/>
      <c r="G203" s="29"/>
      <c r="H203" s="31" t="str">
        <f aca="false">IF(F203="","",F203-N(G203))</f>
        <v/>
      </c>
      <c r="I203" s="27"/>
      <c r="J203" s="30" t="str">
        <f aca="false">IF(COUNTA(B203:G203,I203)=0,"",IF(OR(E203="",F203="",I203&lt;&gt;"Sim"),"Pendente","OK"))</f>
        <v/>
      </c>
    </row>
    <row r="204" customFormat="false" ht="15" hidden="false" customHeight="false" outlineLevel="0" collapsed="false">
      <c r="B204" s="26"/>
      <c r="C204" s="27"/>
      <c r="D204" s="28"/>
      <c r="E204" s="27"/>
      <c r="F204" s="29"/>
      <c r="G204" s="29"/>
      <c r="H204" s="31" t="str">
        <f aca="false">IF(F204="","",F204-N(G204))</f>
        <v/>
      </c>
      <c r="I204" s="27"/>
      <c r="J204" s="30" t="str">
        <f aca="false">IF(COUNTA(B204:G204,I204)=0,"",IF(OR(E204="",F204="",I204&lt;&gt;"Sim"),"Pendente","OK"))</f>
        <v/>
      </c>
    </row>
    <row r="205" customFormat="false" ht="15" hidden="false" customHeight="false" outlineLevel="0" collapsed="false">
      <c r="B205" s="26"/>
      <c r="C205" s="27"/>
      <c r="D205" s="28"/>
      <c r="E205" s="27"/>
      <c r="F205" s="29"/>
      <c r="G205" s="29"/>
      <c r="H205" s="31" t="str">
        <f aca="false">IF(F205="","",F205-N(G205))</f>
        <v/>
      </c>
      <c r="I205" s="27"/>
      <c r="J205" s="30" t="str">
        <f aca="false">IF(COUNTA(B205:G205,I205)=0,"",IF(OR(E205="",F205="",I205&lt;&gt;"Sim"),"Pendente","OK"))</f>
        <v/>
      </c>
    </row>
  </sheetData>
  <mergeCells count="1">
    <mergeCell ref="B1:J3"/>
  </mergeCells>
  <conditionalFormatting sqref="J6:J205">
    <cfRule type="cellIs" priority="2" operator="equal" aboveAverage="0" equalAverage="0" bottom="0" percent="0" rank="0" text="" dxfId="0">
      <formula>"Pendente"</formula>
    </cfRule>
    <cfRule type="cellIs" priority="3" operator="equal" aboveAverage="0" equalAverage="0" bottom="0" percent="0" rank="0" text="" dxfId="1">
      <formula>"OK"</formula>
    </cfRule>
  </conditionalFormatting>
  <dataValidations count="6">
    <dataValidation allowBlank="true" error="Informe uma data válida dentro do ano-calendário definido no Menu." errorStyle="stop" errorTitle="Data fora do ano-calendário" operator="between" prompt="Use uma data do ano-calendário." promptTitle="Data fora do ano-calendário" showDropDown="false" showErrorMessage="true" showInputMessage="true" sqref="B6:B205" type="custom">
      <formula1>AND(ISNUMBER(B6),YEAR(B6)=ano_base)</formula1>
      <formula2>0</formula2>
    </dataValidation>
    <dataValidation allowBlank="true" error="Digite só números: 11 dígitos (CPF) ou 14 dígitos (CNPJ)." errorStyle="stop" errorTitle="CPF/CNPJ inválido" operator="between" prompt="Só números: 11 (CPF) ou 14 (CNPJ) dígitos." promptTitle="CPF/CNPJ inválido" showDropDown="false" showErrorMessage="true" showInputMessage="true" sqref="D6:D205" type="custom">
      <formula1>AND(ISNUMBER(--D6),OR(LEN(D6)=11,LEN(D6)=14))</formula1>
      <formula2>0</formula2>
    </dataValidation>
    <dataValidation allowBlank="true" error="Escolha uma opção da lista." errorStyle="stop" errorTitle="Valor inválido" operator="between" prompt="Escolha na lista." promptTitle="Categoria" showDropDown="false" showErrorMessage="true" showInputMessage="true" sqref="E6:E205" type="list">
      <formula1>tipos_despesa</formula1>
      <formula2>0</formula2>
    </dataValidation>
    <dataValidation allowBlank="true" error="Informe um valor numérico maior ou igual a zero." errorStyle="stop" errorTitle="Valor inválido" operator="between" showDropDown="false" showErrorMessage="true" showInputMessage="false" sqref="F6:F205" type="custom">
      <formula1>AND(ISNUMBER(F6),F6&gt;=0)</formula1>
      <formula2>0</formula2>
    </dataValidation>
    <dataValidation allowBlank="true" error="O reembolso deve ser um número entre zero e o valor pago." errorStyle="stop" errorTitle="Reembolso inválido" operator="between" showDropDown="false" showErrorMessage="true" showInputMessage="false" sqref="G6:G205" type="custom">
      <formula1>AND(ISNUMBER(G6),G6&gt;=0,G6&lt;=N(F6))</formula1>
      <formula2>0</formula2>
    </dataValidation>
    <dataValidation allowBlank="true" error="Escolha uma opção da lista." errorStyle="stop" errorTitle="Valor inválido" operator="between" prompt="Sim ou Não." promptTitle="Comprovante" showDropDown="false" showErrorMessage="true" showInputMessage="true" sqref="I6:I205" type="list">
      <formula1>sim_nao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I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5" min="4" style="0" width="20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5" hidden="false" customHeight="false" outlineLevel="0" collapsed="false">
      <c r="B1" s="1" t="s">
        <v>77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B4" s="12" t="str">
        <f aca="false">HYPERLINK("#'Menu'!A1","« Voltar ao Menu")</f>
        <v>« Voltar ao Menu</v>
      </c>
      <c r="D4" s="25" t="s">
        <v>46</v>
      </c>
    </row>
    <row r="5" customFormat="false" ht="42" hidden="false" customHeight="true" outlineLevel="0" collapsed="false">
      <c r="B5" s="15" t="s">
        <v>78</v>
      </c>
      <c r="C5" s="15" t="s">
        <v>33</v>
      </c>
      <c r="D5" s="15" t="s">
        <v>79</v>
      </c>
      <c r="E5" s="15" t="s">
        <v>80</v>
      </c>
      <c r="F5" s="15" t="s">
        <v>81</v>
      </c>
      <c r="G5" s="15" t="s">
        <v>82</v>
      </c>
      <c r="H5" s="15" t="s">
        <v>83</v>
      </c>
      <c r="I5" s="15" t="s">
        <v>52</v>
      </c>
    </row>
    <row r="6" customFormat="false" ht="15" hidden="false" customHeight="false" outlineLevel="0" collapsed="false">
      <c r="B6" s="27" t="s">
        <v>84</v>
      </c>
      <c r="C6" s="27" t="s">
        <v>85</v>
      </c>
      <c r="D6" s="29" t="n">
        <v>280000</v>
      </c>
      <c r="E6" s="29" t="n">
        <v>280000</v>
      </c>
      <c r="F6" s="31" t="n">
        <f aca="false">IF(COUNTA(D6:E6)=0,"",N(E6)-N(D6))</f>
        <v>0</v>
      </c>
      <c r="G6" s="27"/>
      <c r="H6" s="27" t="s">
        <v>56</v>
      </c>
      <c r="I6" s="30" t="str">
        <f aca="false">IF(COUNTA(B6:E6,G6:H6)=0,"",IF(OR(C6="",E6="",H6&lt;&gt;"Sim"),"Pendente","OK"))</f>
        <v>OK</v>
      </c>
    </row>
    <row r="7" customFormat="false" ht="15" hidden="false" customHeight="false" outlineLevel="0" collapsed="false">
      <c r="B7" s="27" t="s">
        <v>86</v>
      </c>
      <c r="C7" s="27" t="s">
        <v>87</v>
      </c>
      <c r="D7" s="29" t="n">
        <v>45000</v>
      </c>
      <c r="E7" s="29" t="n">
        <v>41000</v>
      </c>
      <c r="F7" s="31" t="n">
        <f aca="false">IF(COUNTA(D7:E7)=0,"",N(E7)-N(D7))</f>
        <v>-4000</v>
      </c>
      <c r="G7" s="27"/>
      <c r="H7" s="27" t="s">
        <v>56</v>
      </c>
      <c r="I7" s="30" t="str">
        <f aca="false">IF(COUNTA(B7:E7,G7:H7)=0,"",IF(OR(C7="",E7="",H7&lt;&gt;"Sim"),"Pendente","OK"))</f>
        <v>OK</v>
      </c>
    </row>
    <row r="8" customFormat="false" ht="15" hidden="false" customHeight="false" outlineLevel="0" collapsed="false">
      <c r="B8" s="27" t="s">
        <v>88</v>
      </c>
      <c r="C8" s="27" t="s">
        <v>89</v>
      </c>
      <c r="D8" s="29" t="n">
        <v>3200</v>
      </c>
      <c r="E8" s="29" t="n">
        <v>5100</v>
      </c>
      <c r="F8" s="31" t="n">
        <f aca="false">IF(COUNTA(D8:E8)=0,"",N(E8)-N(D8))</f>
        <v>1900</v>
      </c>
      <c r="G8" s="27"/>
      <c r="H8" s="27" t="s">
        <v>63</v>
      </c>
      <c r="I8" s="30" t="str">
        <f aca="false">IF(COUNTA(B8:E8,G8:H8)=0,"",IF(OR(C8="",E8="",H8&lt;&gt;"Sim"),"Pendente","OK"))</f>
        <v>Pendente</v>
      </c>
    </row>
    <row r="9" customFormat="false" ht="15" hidden="false" customHeight="false" outlineLevel="0" collapsed="false">
      <c r="B9" s="27"/>
      <c r="C9" s="27"/>
      <c r="D9" s="29"/>
      <c r="E9" s="29"/>
      <c r="F9" s="31" t="str">
        <f aca="false">IF(COUNTA(D9:E9)=0,"",N(E9)-N(D9))</f>
        <v/>
      </c>
      <c r="G9" s="27"/>
      <c r="H9" s="27"/>
      <c r="I9" s="30" t="str">
        <f aca="false">IF(COUNTA(B9:E9,G9:H9)=0,"",IF(OR(C9="",E9="",H9&lt;&gt;"Sim"),"Pendente","OK"))</f>
        <v/>
      </c>
    </row>
    <row r="10" customFormat="false" ht="15" hidden="false" customHeight="false" outlineLevel="0" collapsed="false">
      <c r="B10" s="27"/>
      <c r="C10" s="27"/>
      <c r="D10" s="29"/>
      <c r="E10" s="29"/>
      <c r="F10" s="31" t="str">
        <f aca="false">IF(COUNTA(D10:E10)=0,"",N(E10)-N(D10))</f>
        <v/>
      </c>
      <c r="G10" s="27"/>
      <c r="H10" s="27"/>
      <c r="I10" s="30" t="str">
        <f aca="false">IF(COUNTA(B10:E10,G10:H10)=0,"",IF(OR(C10="",E10="",H10&lt;&gt;"Sim"),"Pendente","OK"))</f>
        <v/>
      </c>
    </row>
    <row r="11" customFormat="false" ht="15" hidden="false" customHeight="false" outlineLevel="0" collapsed="false">
      <c r="B11" s="27"/>
      <c r="C11" s="27"/>
      <c r="D11" s="29"/>
      <c r="E11" s="29"/>
      <c r="F11" s="31" t="str">
        <f aca="false">IF(COUNTA(D11:E11)=0,"",N(E11)-N(D11))</f>
        <v/>
      </c>
      <c r="G11" s="27"/>
      <c r="H11" s="27"/>
      <c r="I11" s="30" t="str">
        <f aca="false">IF(COUNTA(B11:E11,G11:H11)=0,"",IF(OR(C11="",E11="",H11&lt;&gt;"Sim"),"Pendente","OK"))</f>
        <v/>
      </c>
    </row>
    <row r="12" customFormat="false" ht="15" hidden="false" customHeight="false" outlineLevel="0" collapsed="false">
      <c r="B12" s="27"/>
      <c r="C12" s="27"/>
      <c r="D12" s="29"/>
      <c r="E12" s="29"/>
      <c r="F12" s="31" t="str">
        <f aca="false">IF(COUNTA(D12:E12)=0,"",N(E12)-N(D12))</f>
        <v/>
      </c>
      <c r="G12" s="27"/>
      <c r="H12" s="27"/>
      <c r="I12" s="30" t="str">
        <f aca="false">IF(COUNTA(B12:E12,G12:H12)=0,"",IF(OR(C12="",E12="",H12&lt;&gt;"Sim"),"Pendente","OK"))</f>
        <v/>
      </c>
    </row>
    <row r="13" customFormat="false" ht="15" hidden="false" customHeight="false" outlineLevel="0" collapsed="false">
      <c r="B13" s="27"/>
      <c r="C13" s="27"/>
      <c r="D13" s="29"/>
      <c r="E13" s="29"/>
      <c r="F13" s="31" t="str">
        <f aca="false">IF(COUNTA(D13:E13)=0,"",N(E13)-N(D13))</f>
        <v/>
      </c>
      <c r="G13" s="27"/>
      <c r="H13" s="27"/>
      <c r="I13" s="30" t="str">
        <f aca="false">IF(COUNTA(B13:E13,G13:H13)=0,"",IF(OR(C13="",E13="",H13&lt;&gt;"Sim"),"Pendente","OK"))</f>
        <v/>
      </c>
    </row>
    <row r="14" customFormat="false" ht="15" hidden="false" customHeight="false" outlineLevel="0" collapsed="false">
      <c r="B14" s="27"/>
      <c r="C14" s="27"/>
      <c r="D14" s="29"/>
      <c r="E14" s="29"/>
      <c r="F14" s="31" t="str">
        <f aca="false">IF(COUNTA(D14:E14)=0,"",N(E14)-N(D14))</f>
        <v/>
      </c>
      <c r="G14" s="27"/>
      <c r="H14" s="27"/>
      <c r="I14" s="30" t="str">
        <f aca="false">IF(COUNTA(B14:E14,G14:H14)=0,"",IF(OR(C14="",E14="",H14&lt;&gt;"Sim"),"Pendente","OK"))</f>
        <v/>
      </c>
    </row>
    <row r="15" customFormat="false" ht="15" hidden="false" customHeight="false" outlineLevel="0" collapsed="false">
      <c r="B15" s="27"/>
      <c r="C15" s="27"/>
      <c r="D15" s="29"/>
      <c r="E15" s="29"/>
      <c r="F15" s="31" t="str">
        <f aca="false">IF(COUNTA(D15:E15)=0,"",N(E15)-N(D15))</f>
        <v/>
      </c>
      <c r="G15" s="27"/>
      <c r="H15" s="27"/>
      <c r="I15" s="30" t="str">
        <f aca="false">IF(COUNTA(B15:E15,G15:H15)=0,"",IF(OR(C15="",E15="",H15&lt;&gt;"Sim"),"Pendente","OK"))</f>
        <v/>
      </c>
    </row>
    <row r="16" customFormat="false" ht="15" hidden="false" customHeight="false" outlineLevel="0" collapsed="false">
      <c r="B16" s="27"/>
      <c r="C16" s="27"/>
      <c r="D16" s="29"/>
      <c r="E16" s="29"/>
      <c r="F16" s="31" t="str">
        <f aca="false">IF(COUNTA(D16:E16)=0,"",N(E16)-N(D16))</f>
        <v/>
      </c>
      <c r="G16" s="27"/>
      <c r="H16" s="27"/>
      <c r="I16" s="30" t="str">
        <f aca="false">IF(COUNTA(B16:E16,G16:H16)=0,"",IF(OR(C16="",E16="",H16&lt;&gt;"Sim"),"Pendente","OK"))</f>
        <v/>
      </c>
    </row>
    <row r="17" customFormat="false" ht="15" hidden="false" customHeight="false" outlineLevel="0" collapsed="false">
      <c r="B17" s="27"/>
      <c r="C17" s="27"/>
      <c r="D17" s="29"/>
      <c r="E17" s="29"/>
      <c r="F17" s="31" t="str">
        <f aca="false">IF(COUNTA(D17:E17)=0,"",N(E17)-N(D17))</f>
        <v/>
      </c>
      <c r="G17" s="27"/>
      <c r="H17" s="27"/>
      <c r="I17" s="30" t="str">
        <f aca="false">IF(COUNTA(B17:E17,G17:H17)=0,"",IF(OR(C17="",E17="",H17&lt;&gt;"Sim"),"Pendente","OK"))</f>
        <v/>
      </c>
    </row>
    <row r="18" customFormat="false" ht="15" hidden="false" customHeight="false" outlineLevel="0" collapsed="false">
      <c r="B18" s="27"/>
      <c r="C18" s="27"/>
      <c r="D18" s="29"/>
      <c r="E18" s="29"/>
      <c r="F18" s="31" t="str">
        <f aca="false">IF(COUNTA(D18:E18)=0,"",N(E18)-N(D18))</f>
        <v/>
      </c>
      <c r="G18" s="27"/>
      <c r="H18" s="27"/>
      <c r="I18" s="30" t="str">
        <f aca="false">IF(COUNTA(B18:E18,G18:H18)=0,"",IF(OR(C18="",E18="",H18&lt;&gt;"Sim"),"Pendente","OK"))</f>
        <v/>
      </c>
    </row>
    <row r="19" customFormat="false" ht="15" hidden="false" customHeight="false" outlineLevel="0" collapsed="false">
      <c r="B19" s="27"/>
      <c r="C19" s="27"/>
      <c r="D19" s="29"/>
      <c r="E19" s="29"/>
      <c r="F19" s="31" t="str">
        <f aca="false">IF(COUNTA(D19:E19)=0,"",N(E19)-N(D19))</f>
        <v/>
      </c>
      <c r="G19" s="27"/>
      <c r="H19" s="27"/>
      <c r="I19" s="30" t="str">
        <f aca="false">IF(COUNTA(B19:E19,G19:H19)=0,"",IF(OR(C19="",E19="",H19&lt;&gt;"Sim"),"Pendente","OK"))</f>
        <v/>
      </c>
    </row>
    <row r="20" customFormat="false" ht="15" hidden="false" customHeight="false" outlineLevel="0" collapsed="false">
      <c r="B20" s="27"/>
      <c r="C20" s="27"/>
      <c r="D20" s="29"/>
      <c r="E20" s="29"/>
      <c r="F20" s="31" t="str">
        <f aca="false">IF(COUNTA(D20:E20)=0,"",N(E20)-N(D20))</f>
        <v/>
      </c>
      <c r="G20" s="27"/>
      <c r="H20" s="27"/>
      <c r="I20" s="30" t="str">
        <f aca="false">IF(COUNTA(B20:E20,G20:H20)=0,"",IF(OR(C20="",E20="",H20&lt;&gt;"Sim"),"Pendente","OK"))</f>
        <v/>
      </c>
    </row>
    <row r="21" customFormat="false" ht="15" hidden="false" customHeight="false" outlineLevel="0" collapsed="false">
      <c r="B21" s="27"/>
      <c r="C21" s="27"/>
      <c r="D21" s="29"/>
      <c r="E21" s="29"/>
      <c r="F21" s="31" t="str">
        <f aca="false">IF(COUNTA(D21:E21)=0,"",N(E21)-N(D21))</f>
        <v/>
      </c>
      <c r="G21" s="27"/>
      <c r="H21" s="27"/>
      <c r="I21" s="30" t="str">
        <f aca="false">IF(COUNTA(B21:E21,G21:H21)=0,"",IF(OR(C21="",E21="",H21&lt;&gt;"Sim"),"Pendente","OK"))</f>
        <v/>
      </c>
    </row>
    <row r="22" customFormat="false" ht="15" hidden="false" customHeight="false" outlineLevel="0" collapsed="false">
      <c r="B22" s="27"/>
      <c r="C22" s="27"/>
      <c r="D22" s="29"/>
      <c r="E22" s="29"/>
      <c r="F22" s="31" t="str">
        <f aca="false">IF(COUNTA(D22:E22)=0,"",N(E22)-N(D22))</f>
        <v/>
      </c>
      <c r="G22" s="27"/>
      <c r="H22" s="27"/>
      <c r="I22" s="30" t="str">
        <f aca="false">IF(COUNTA(B22:E22,G22:H22)=0,"",IF(OR(C22="",E22="",H22&lt;&gt;"Sim"),"Pendente","OK"))</f>
        <v/>
      </c>
    </row>
    <row r="23" customFormat="false" ht="15" hidden="false" customHeight="false" outlineLevel="0" collapsed="false">
      <c r="B23" s="27"/>
      <c r="C23" s="27"/>
      <c r="D23" s="29"/>
      <c r="E23" s="29"/>
      <c r="F23" s="31" t="str">
        <f aca="false">IF(COUNTA(D23:E23)=0,"",N(E23)-N(D23))</f>
        <v/>
      </c>
      <c r="G23" s="27"/>
      <c r="H23" s="27"/>
      <c r="I23" s="30" t="str">
        <f aca="false">IF(COUNTA(B23:E23,G23:H23)=0,"",IF(OR(C23="",E23="",H23&lt;&gt;"Sim"),"Pendente","OK"))</f>
        <v/>
      </c>
    </row>
    <row r="24" customFormat="false" ht="15" hidden="false" customHeight="false" outlineLevel="0" collapsed="false">
      <c r="B24" s="27"/>
      <c r="C24" s="27"/>
      <c r="D24" s="29"/>
      <c r="E24" s="29"/>
      <c r="F24" s="31" t="str">
        <f aca="false">IF(COUNTA(D24:E24)=0,"",N(E24)-N(D24))</f>
        <v/>
      </c>
      <c r="G24" s="27"/>
      <c r="H24" s="27"/>
      <c r="I24" s="30" t="str">
        <f aca="false">IF(COUNTA(B24:E24,G24:H24)=0,"",IF(OR(C24="",E24="",H24&lt;&gt;"Sim"),"Pendente","OK"))</f>
        <v/>
      </c>
    </row>
    <row r="25" customFormat="false" ht="15" hidden="false" customHeight="false" outlineLevel="0" collapsed="false">
      <c r="B25" s="27"/>
      <c r="C25" s="27"/>
      <c r="D25" s="29"/>
      <c r="E25" s="29"/>
      <c r="F25" s="31" t="str">
        <f aca="false">IF(COUNTA(D25:E25)=0,"",N(E25)-N(D25))</f>
        <v/>
      </c>
      <c r="G25" s="27"/>
      <c r="H25" s="27"/>
      <c r="I25" s="30" t="str">
        <f aca="false">IF(COUNTA(B25:E25,G25:H25)=0,"",IF(OR(C25="",E25="",H25&lt;&gt;"Sim"),"Pendente","OK"))</f>
        <v/>
      </c>
    </row>
    <row r="26" customFormat="false" ht="15" hidden="false" customHeight="false" outlineLevel="0" collapsed="false">
      <c r="B26" s="27"/>
      <c r="C26" s="27"/>
      <c r="D26" s="29"/>
      <c r="E26" s="29"/>
      <c r="F26" s="31" t="str">
        <f aca="false">IF(COUNTA(D26:E26)=0,"",N(E26)-N(D26))</f>
        <v/>
      </c>
      <c r="G26" s="27"/>
      <c r="H26" s="27"/>
      <c r="I26" s="30" t="str">
        <f aca="false">IF(COUNTA(B26:E26,G26:H26)=0,"",IF(OR(C26="",E26="",H26&lt;&gt;"Sim"),"Pendente","OK"))</f>
        <v/>
      </c>
    </row>
    <row r="27" customFormat="false" ht="15" hidden="false" customHeight="false" outlineLevel="0" collapsed="false">
      <c r="B27" s="27"/>
      <c r="C27" s="27"/>
      <c r="D27" s="29"/>
      <c r="E27" s="29"/>
      <c r="F27" s="31" t="str">
        <f aca="false">IF(COUNTA(D27:E27)=0,"",N(E27)-N(D27))</f>
        <v/>
      </c>
      <c r="G27" s="27"/>
      <c r="H27" s="27"/>
      <c r="I27" s="30" t="str">
        <f aca="false">IF(COUNTA(B27:E27,G27:H27)=0,"",IF(OR(C27="",E27="",H27&lt;&gt;"Sim"),"Pendente","OK"))</f>
        <v/>
      </c>
    </row>
    <row r="28" customFormat="false" ht="15" hidden="false" customHeight="false" outlineLevel="0" collapsed="false">
      <c r="B28" s="27"/>
      <c r="C28" s="27"/>
      <c r="D28" s="29"/>
      <c r="E28" s="29"/>
      <c r="F28" s="31" t="str">
        <f aca="false">IF(COUNTA(D28:E28)=0,"",N(E28)-N(D28))</f>
        <v/>
      </c>
      <c r="G28" s="27"/>
      <c r="H28" s="27"/>
      <c r="I28" s="30" t="str">
        <f aca="false">IF(COUNTA(B28:E28,G28:H28)=0,"",IF(OR(C28="",E28="",H28&lt;&gt;"Sim"),"Pendente","OK"))</f>
        <v/>
      </c>
    </row>
    <row r="29" customFormat="false" ht="15" hidden="false" customHeight="false" outlineLevel="0" collapsed="false">
      <c r="B29" s="27"/>
      <c r="C29" s="27"/>
      <c r="D29" s="29"/>
      <c r="E29" s="29"/>
      <c r="F29" s="31" t="str">
        <f aca="false">IF(COUNTA(D29:E29)=0,"",N(E29)-N(D29))</f>
        <v/>
      </c>
      <c r="G29" s="27"/>
      <c r="H29" s="27"/>
      <c r="I29" s="30" t="str">
        <f aca="false">IF(COUNTA(B29:E29,G29:H29)=0,"",IF(OR(C29="",E29="",H29&lt;&gt;"Sim"),"Pendente","OK"))</f>
        <v/>
      </c>
    </row>
    <row r="30" customFormat="false" ht="15" hidden="false" customHeight="false" outlineLevel="0" collapsed="false">
      <c r="B30" s="27"/>
      <c r="C30" s="27"/>
      <c r="D30" s="29"/>
      <c r="E30" s="29"/>
      <c r="F30" s="31" t="str">
        <f aca="false">IF(COUNTA(D30:E30)=0,"",N(E30)-N(D30))</f>
        <v/>
      </c>
      <c r="G30" s="27"/>
      <c r="H30" s="27"/>
      <c r="I30" s="30" t="str">
        <f aca="false">IF(COUNTA(B30:E30,G30:H30)=0,"",IF(OR(C30="",E30="",H30&lt;&gt;"Sim"),"Pendente","OK"))</f>
        <v/>
      </c>
    </row>
    <row r="31" customFormat="false" ht="15" hidden="false" customHeight="false" outlineLevel="0" collapsed="false">
      <c r="B31" s="27"/>
      <c r="C31" s="27"/>
      <c r="D31" s="29"/>
      <c r="E31" s="29"/>
      <c r="F31" s="31" t="str">
        <f aca="false">IF(COUNTA(D31:E31)=0,"",N(E31)-N(D31))</f>
        <v/>
      </c>
      <c r="G31" s="27"/>
      <c r="H31" s="27"/>
      <c r="I31" s="30" t="str">
        <f aca="false">IF(COUNTA(B31:E31,G31:H31)=0,"",IF(OR(C31="",E31="",H31&lt;&gt;"Sim"),"Pendente","OK"))</f>
        <v/>
      </c>
    </row>
    <row r="32" customFormat="false" ht="15" hidden="false" customHeight="false" outlineLevel="0" collapsed="false">
      <c r="B32" s="27"/>
      <c r="C32" s="27"/>
      <c r="D32" s="29"/>
      <c r="E32" s="29"/>
      <c r="F32" s="31" t="str">
        <f aca="false">IF(COUNTA(D32:E32)=0,"",N(E32)-N(D32))</f>
        <v/>
      </c>
      <c r="G32" s="27"/>
      <c r="H32" s="27"/>
      <c r="I32" s="30" t="str">
        <f aca="false">IF(COUNTA(B32:E32,G32:H32)=0,"",IF(OR(C32="",E32="",H32&lt;&gt;"Sim"),"Pendente","OK"))</f>
        <v/>
      </c>
    </row>
    <row r="33" customFormat="false" ht="15" hidden="false" customHeight="false" outlineLevel="0" collapsed="false">
      <c r="B33" s="27"/>
      <c r="C33" s="27"/>
      <c r="D33" s="29"/>
      <c r="E33" s="29"/>
      <c r="F33" s="31" t="str">
        <f aca="false">IF(COUNTA(D33:E33)=0,"",N(E33)-N(D33))</f>
        <v/>
      </c>
      <c r="G33" s="27"/>
      <c r="H33" s="27"/>
      <c r="I33" s="30" t="str">
        <f aca="false">IF(COUNTA(B33:E33,G33:H33)=0,"",IF(OR(C33="",E33="",H33&lt;&gt;"Sim"),"Pendente","OK"))</f>
        <v/>
      </c>
    </row>
    <row r="34" customFormat="false" ht="15" hidden="false" customHeight="false" outlineLevel="0" collapsed="false">
      <c r="B34" s="27"/>
      <c r="C34" s="27"/>
      <c r="D34" s="29"/>
      <c r="E34" s="29"/>
      <c r="F34" s="31" t="str">
        <f aca="false">IF(COUNTA(D34:E34)=0,"",N(E34)-N(D34))</f>
        <v/>
      </c>
      <c r="G34" s="27"/>
      <c r="H34" s="27"/>
      <c r="I34" s="30" t="str">
        <f aca="false">IF(COUNTA(B34:E34,G34:H34)=0,"",IF(OR(C34="",E34="",H34&lt;&gt;"Sim"),"Pendente","OK"))</f>
        <v/>
      </c>
    </row>
    <row r="35" customFormat="false" ht="15" hidden="false" customHeight="false" outlineLevel="0" collapsed="false">
      <c r="B35" s="27"/>
      <c r="C35" s="27"/>
      <c r="D35" s="29"/>
      <c r="E35" s="29"/>
      <c r="F35" s="31" t="str">
        <f aca="false">IF(COUNTA(D35:E35)=0,"",N(E35)-N(D35))</f>
        <v/>
      </c>
      <c r="G35" s="27"/>
      <c r="H35" s="27"/>
      <c r="I35" s="30" t="str">
        <f aca="false">IF(COUNTA(B35:E35,G35:H35)=0,"",IF(OR(C35="",E35="",H35&lt;&gt;"Sim"),"Pendente","OK"))</f>
        <v/>
      </c>
    </row>
    <row r="36" customFormat="false" ht="15" hidden="false" customHeight="false" outlineLevel="0" collapsed="false">
      <c r="B36" s="27"/>
      <c r="C36" s="27"/>
      <c r="D36" s="29"/>
      <c r="E36" s="29"/>
      <c r="F36" s="31" t="str">
        <f aca="false">IF(COUNTA(D36:E36)=0,"",N(E36)-N(D36))</f>
        <v/>
      </c>
      <c r="G36" s="27"/>
      <c r="H36" s="27"/>
      <c r="I36" s="30" t="str">
        <f aca="false">IF(COUNTA(B36:E36,G36:H36)=0,"",IF(OR(C36="",E36="",H36&lt;&gt;"Sim"),"Pendente","OK"))</f>
        <v/>
      </c>
    </row>
    <row r="37" customFormat="false" ht="15" hidden="false" customHeight="false" outlineLevel="0" collapsed="false">
      <c r="B37" s="27"/>
      <c r="C37" s="27"/>
      <c r="D37" s="29"/>
      <c r="E37" s="29"/>
      <c r="F37" s="31" t="str">
        <f aca="false">IF(COUNTA(D37:E37)=0,"",N(E37)-N(D37))</f>
        <v/>
      </c>
      <c r="G37" s="27"/>
      <c r="H37" s="27"/>
      <c r="I37" s="30" t="str">
        <f aca="false">IF(COUNTA(B37:E37,G37:H37)=0,"",IF(OR(C37="",E37="",H37&lt;&gt;"Sim"),"Pendente","OK"))</f>
        <v/>
      </c>
    </row>
    <row r="38" customFormat="false" ht="15" hidden="false" customHeight="false" outlineLevel="0" collapsed="false">
      <c r="B38" s="27"/>
      <c r="C38" s="27"/>
      <c r="D38" s="29"/>
      <c r="E38" s="29"/>
      <c r="F38" s="31" t="str">
        <f aca="false">IF(COUNTA(D38:E38)=0,"",N(E38)-N(D38))</f>
        <v/>
      </c>
      <c r="G38" s="27"/>
      <c r="H38" s="27"/>
      <c r="I38" s="30" t="str">
        <f aca="false">IF(COUNTA(B38:E38,G38:H38)=0,"",IF(OR(C38="",E38="",H38&lt;&gt;"Sim"),"Pendente","OK"))</f>
        <v/>
      </c>
    </row>
    <row r="39" customFormat="false" ht="15" hidden="false" customHeight="false" outlineLevel="0" collapsed="false">
      <c r="B39" s="27"/>
      <c r="C39" s="27"/>
      <c r="D39" s="29"/>
      <c r="E39" s="29"/>
      <c r="F39" s="31" t="str">
        <f aca="false">IF(COUNTA(D39:E39)=0,"",N(E39)-N(D39))</f>
        <v/>
      </c>
      <c r="G39" s="27"/>
      <c r="H39" s="27"/>
      <c r="I39" s="30" t="str">
        <f aca="false">IF(COUNTA(B39:E39,G39:H39)=0,"",IF(OR(C39="",E39="",H39&lt;&gt;"Sim"),"Pendente","OK"))</f>
        <v/>
      </c>
    </row>
    <row r="40" customFormat="false" ht="15" hidden="false" customHeight="false" outlineLevel="0" collapsed="false">
      <c r="B40" s="27"/>
      <c r="C40" s="27"/>
      <c r="D40" s="29"/>
      <c r="E40" s="29"/>
      <c r="F40" s="31" t="str">
        <f aca="false">IF(COUNTA(D40:E40)=0,"",N(E40)-N(D40))</f>
        <v/>
      </c>
      <c r="G40" s="27"/>
      <c r="H40" s="27"/>
      <c r="I40" s="30" t="str">
        <f aca="false">IF(COUNTA(B40:E40,G40:H40)=0,"",IF(OR(C40="",E40="",H40&lt;&gt;"Sim"),"Pendente","OK"))</f>
        <v/>
      </c>
    </row>
    <row r="41" customFormat="false" ht="15" hidden="false" customHeight="false" outlineLevel="0" collapsed="false">
      <c r="B41" s="27"/>
      <c r="C41" s="27"/>
      <c r="D41" s="29"/>
      <c r="E41" s="29"/>
      <c r="F41" s="31" t="str">
        <f aca="false">IF(COUNTA(D41:E41)=0,"",N(E41)-N(D41))</f>
        <v/>
      </c>
      <c r="G41" s="27"/>
      <c r="H41" s="27"/>
      <c r="I41" s="30" t="str">
        <f aca="false">IF(COUNTA(B41:E41,G41:H41)=0,"",IF(OR(C41="",E41="",H41&lt;&gt;"Sim"),"Pendente","OK"))</f>
        <v/>
      </c>
    </row>
    <row r="42" customFormat="false" ht="15" hidden="false" customHeight="false" outlineLevel="0" collapsed="false">
      <c r="B42" s="27"/>
      <c r="C42" s="27"/>
      <c r="D42" s="29"/>
      <c r="E42" s="29"/>
      <c r="F42" s="31" t="str">
        <f aca="false">IF(COUNTA(D42:E42)=0,"",N(E42)-N(D42))</f>
        <v/>
      </c>
      <c r="G42" s="27"/>
      <c r="H42" s="27"/>
      <c r="I42" s="30" t="str">
        <f aca="false">IF(COUNTA(B42:E42,G42:H42)=0,"",IF(OR(C42="",E42="",H42&lt;&gt;"Sim"),"Pendente","OK"))</f>
        <v/>
      </c>
    </row>
    <row r="43" customFormat="false" ht="15" hidden="false" customHeight="false" outlineLevel="0" collapsed="false">
      <c r="B43" s="27"/>
      <c r="C43" s="27"/>
      <c r="D43" s="29"/>
      <c r="E43" s="29"/>
      <c r="F43" s="31" t="str">
        <f aca="false">IF(COUNTA(D43:E43)=0,"",N(E43)-N(D43))</f>
        <v/>
      </c>
      <c r="G43" s="27"/>
      <c r="H43" s="27"/>
      <c r="I43" s="30" t="str">
        <f aca="false">IF(COUNTA(B43:E43,G43:H43)=0,"",IF(OR(C43="",E43="",H43&lt;&gt;"Sim"),"Pendente","OK"))</f>
        <v/>
      </c>
    </row>
    <row r="44" customFormat="false" ht="15" hidden="false" customHeight="false" outlineLevel="0" collapsed="false">
      <c r="B44" s="27"/>
      <c r="C44" s="27"/>
      <c r="D44" s="29"/>
      <c r="E44" s="29"/>
      <c r="F44" s="31" t="str">
        <f aca="false">IF(COUNTA(D44:E44)=0,"",N(E44)-N(D44))</f>
        <v/>
      </c>
      <c r="G44" s="27"/>
      <c r="H44" s="27"/>
      <c r="I44" s="30" t="str">
        <f aca="false">IF(COUNTA(B44:E44,G44:H44)=0,"",IF(OR(C44="",E44="",H44&lt;&gt;"Sim"),"Pendente","OK"))</f>
        <v/>
      </c>
    </row>
    <row r="45" customFormat="false" ht="15" hidden="false" customHeight="false" outlineLevel="0" collapsed="false">
      <c r="B45" s="27"/>
      <c r="C45" s="27"/>
      <c r="D45" s="29"/>
      <c r="E45" s="29"/>
      <c r="F45" s="31" t="str">
        <f aca="false">IF(COUNTA(D45:E45)=0,"",N(E45)-N(D45))</f>
        <v/>
      </c>
      <c r="G45" s="27"/>
      <c r="H45" s="27"/>
      <c r="I45" s="30" t="str">
        <f aca="false">IF(COUNTA(B45:E45,G45:H45)=0,"",IF(OR(C45="",E45="",H45&lt;&gt;"Sim"),"Pendente","OK"))</f>
        <v/>
      </c>
    </row>
    <row r="46" customFormat="false" ht="15" hidden="false" customHeight="false" outlineLevel="0" collapsed="false">
      <c r="B46" s="27"/>
      <c r="C46" s="27"/>
      <c r="D46" s="29"/>
      <c r="E46" s="29"/>
      <c r="F46" s="31" t="str">
        <f aca="false">IF(COUNTA(D46:E46)=0,"",N(E46)-N(D46))</f>
        <v/>
      </c>
      <c r="G46" s="27"/>
      <c r="H46" s="27"/>
      <c r="I46" s="30" t="str">
        <f aca="false">IF(COUNTA(B46:E46,G46:H46)=0,"",IF(OR(C46="",E46="",H46&lt;&gt;"Sim"),"Pendente","OK"))</f>
        <v/>
      </c>
    </row>
    <row r="47" customFormat="false" ht="15" hidden="false" customHeight="false" outlineLevel="0" collapsed="false">
      <c r="B47" s="27"/>
      <c r="C47" s="27"/>
      <c r="D47" s="29"/>
      <c r="E47" s="29"/>
      <c r="F47" s="31" t="str">
        <f aca="false">IF(COUNTA(D47:E47)=0,"",N(E47)-N(D47))</f>
        <v/>
      </c>
      <c r="G47" s="27"/>
      <c r="H47" s="27"/>
      <c r="I47" s="30" t="str">
        <f aca="false">IF(COUNTA(B47:E47,G47:H47)=0,"",IF(OR(C47="",E47="",H47&lt;&gt;"Sim"),"Pendente","OK"))</f>
        <v/>
      </c>
    </row>
    <row r="48" customFormat="false" ht="15" hidden="false" customHeight="false" outlineLevel="0" collapsed="false">
      <c r="B48" s="27"/>
      <c r="C48" s="27"/>
      <c r="D48" s="29"/>
      <c r="E48" s="29"/>
      <c r="F48" s="31" t="str">
        <f aca="false">IF(COUNTA(D48:E48)=0,"",N(E48)-N(D48))</f>
        <v/>
      </c>
      <c r="G48" s="27"/>
      <c r="H48" s="27"/>
      <c r="I48" s="30" t="str">
        <f aca="false">IF(COUNTA(B48:E48,G48:H48)=0,"",IF(OR(C48="",E48="",H48&lt;&gt;"Sim"),"Pendente","OK"))</f>
        <v/>
      </c>
    </row>
    <row r="49" customFormat="false" ht="15" hidden="false" customHeight="false" outlineLevel="0" collapsed="false">
      <c r="B49" s="27"/>
      <c r="C49" s="27"/>
      <c r="D49" s="29"/>
      <c r="E49" s="29"/>
      <c r="F49" s="31" t="str">
        <f aca="false">IF(COUNTA(D49:E49)=0,"",N(E49)-N(D49))</f>
        <v/>
      </c>
      <c r="G49" s="27"/>
      <c r="H49" s="27"/>
      <c r="I49" s="30" t="str">
        <f aca="false">IF(COUNTA(B49:E49,G49:H49)=0,"",IF(OR(C49="",E49="",H49&lt;&gt;"Sim"),"Pendente","OK"))</f>
        <v/>
      </c>
    </row>
    <row r="50" customFormat="false" ht="15" hidden="false" customHeight="false" outlineLevel="0" collapsed="false">
      <c r="B50" s="27"/>
      <c r="C50" s="27"/>
      <c r="D50" s="29"/>
      <c r="E50" s="29"/>
      <c r="F50" s="31" t="str">
        <f aca="false">IF(COUNTA(D50:E50)=0,"",N(E50)-N(D50))</f>
        <v/>
      </c>
      <c r="G50" s="27"/>
      <c r="H50" s="27"/>
      <c r="I50" s="30" t="str">
        <f aca="false">IF(COUNTA(B50:E50,G50:H50)=0,"",IF(OR(C50="",E50="",H50&lt;&gt;"Sim"),"Pendente","OK"))</f>
        <v/>
      </c>
    </row>
    <row r="51" customFormat="false" ht="15" hidden="false" customHeight="false" outlineLevel="0" collapsed="false">
      <c r="B51" s="27"/>
      <c r="C51" s="27"/>
      <c r="D51" s="29"/>
      <c r="E51" s="29"/>
      <c r="F51" s="31" t="str">
        <f aca="false">IF(COUNTA(D51:E51)=0,"",N(E51)-N(D51))</f>
        <v/>
      </c>
      <c r="G51" s="27"/>
      <c r="H51" s="27"/>
      <c r="I51" s="30" t="str">
        <f aca="false">IF(COUNTA(B51:E51,G51:H51)=0,"",IF(OR(C51="",E51="",H51&lt;&gt;"Sim"),"Pendente","OK"))</f>
        <v/>
      </c>
    </row>
    <row r="52" customFormat="false" ht="15" hidden="false" customHeight="false" outlineLevel="0" collapsed="false">
      <c r="B52" s="27"/>
      <c r="C52" s="27"/>
      <c r="D52" s="29"/>
      <c r="E52" s="29"/>
      <c r="F52" s="31" t="str">
        <f aca="false">IF(COUNTA(D52:E52)=0,"",N(E52)-N(D52))</f>
        <v/>
      </c>
      <c r="G52" s="27"/>
      <c r="H52" s="27"/>
      <c r="I52" s="30" t="str">
        <f aca="false">IF(COUNTA(B52:E52,G52:H52)=0,"",IF(OR(C52="",E52="",H52&lt;&gt;"Sim"),"Pendente","OK"))</f>
        <v/>
      </c>
    </row>
    <row r="53" customFormat="false" ht="15" hidden="false" customHeight="false" outlineLevel="0" collapsed="false">
      <c r="B53" s="27"/>
      <c r="C53" s="27"/>
      <c r="D53" s="29"/>
      <c r="E53" s="29"/>
      <c r="F53" s="31" t="str">
        <f aca="false">IF(COUNTA(D53:E53)=0,"",N(E53)-N(D53))</f>
        <v/>
      </c>
      <c r="G53" s="27"/>
      <c r="H53" s="27"/>
      <c r="I53" s="30" t="str">
        <f aca="false">IF(COUNTA(B53:E53,G53:H53)=0,"",IF(OR(C53="",E53="",H53&lt;&gt;"Sim"),"Pendente","OK"))</f>
        <v/>
      </c>
    </row>
    <row r="54" customFormat="false" ht="15" hidden="false" customHeight="false" outlineLevel="0" collapsed="false">
      <c r="B54" s="27"/>
      <c r="C54" s="27"/>
      <c r="D54" s="29"/>
      <c r="E54" s="29"/>
      <c r="F54" s="31" t="str">
        <f aca="false">IF(COUNTA(D54:E54)=0,"",N(E54)-N(D54))</f>
        <v/>
      </c>
      <c r="G54" s="27"/>
      <c r="H54" s="27"/>
      <c r="I54" s="30" t="str">
        <f aca="false">IF(COUNTA(B54:E54,G54:H54)=0,"",IF(OR(C54="",E54="",H54&lt;&gt;"Sim"),"Pendente","OK"))</f>
        <v/>
      </c>
    </row>
    <row r="55" customFormat="false" ht="15" hidden="false" customHeight="false" outlineLevel="0" collapsed="false">
      <c r="B55" s="27"/>
      <c r="C55" s="27"/>
      <c r="D55" s="29"/>
      <c r="E55" s="29"/>
      <c r="F55" s="31" t="str">
        <f aca="false">IF(COUNTA(D55:E55)=0,"",N(E55)-N(D55))</f>
        <v/>
      </c>
      <c r="G55" s="27"/>
      <c r="H55" s="27"/>
      <c r="I55" s="30" t="str">
        <f aca="false">IF(COUNTA(B55:E55,G55:H55)=0,"",IF(OR(C55="",E55="",H55&lt;&gt;"Sim"),"Pendente","OK"))</f>
        <v/>
      </c>
    </row>
    <row r="56" customFormat="false" ht="15" hidden="false" customHeight="false" outlineLevel="0" collapsed="false">
      <c r="B56" s="27"/>
      <c r="C56" s="27"/>
      <c r="D56" s="29"/>
      <c r="E56" s="29"/>
      <c r="F56" s="31" t="str">
        <f aca="false">IF(COUNTA(D56:E56)=0,"",N(E56)-N(D56))</f>
        <v/>
      </c>
      <c r="G56" s="27"/>
      <c r="H56" s="27"/>
      <c r="I56" s="30" t="str">
        <f aca="false">IF(COUNTA(B56:E56,G56:H56)=0,"",IF(OR(C56="",E56="",H56&lt;&gt;"Sim"),"Pendente","OK"))</f>
        <v/>
      </c>
    </row>
    <row r="57" customFormat="false" ht="15" hidden="false" customHeight="false" outlineLevel="0" collapsed="false">
      <c r="B57" s="27"/>
      <c r="C57" s="27"/>
      <c r="D57" s="29"/>
      <c r="E57" s="29"/>
      <c r="F57" s="31" t="str">
        <f aca="false">IF(COUNTA(D57:E57)=0,"",N(E57)-N(D57))</f>
        <v/>
      </c>
      <c r="G57" s="27"/>
      <c r="H57" s="27"/>
      <c r="I57" s="30" t="str">
        <f aca="false">IF(COUNTA(B57:E57,G57:H57)=0,"",IF(OR(C57="",E57="",H57&lt;&gt;"Sim"),"Pendente","OK"))</f>
        <v/>
      </c>
    </row>
    <row r="58" customFormat="false" ht="15" hidden="false" customHeight="false" outlineLevel="0" collapsed="false">
      <c r="B58" s="27"/>
      <c r="C58" s="27"/>
      <c r="D58" s="29"/>
      <c r="E58" s="29"/>
      <c r="F58" s="31" t="str">
        <f aca="false">IF(COUNTA(D58:E58)=0,"",N(E58)-N(D58))</f>
        <v/>
      </c>
      <c r="G58" s="27"/>
      <c r="H58" s="27"/>
      <c r="I58" s="30" t="str">
        <f aca="false">IF(COUNTA(B58:E58,G58:H58)=0,"",IF(OR(C58="",E58="",H58&lt;&gt;"Sim"),"Pendente","OK"))</f>
        <v/>
      </c>
    </row>
    <row r="59" customFormat="false" ht="15" hidden="false" customHeight="false" outlineLevel="0" collapsed="false">
      <c r="B59" s="27"/>
      <c r="C59" s="27"/>
      <c r="D59" s="29"/>
      <c r="E59" s="29"/>
      <c r="F59" s="31" t="str">
        <f aca="false">IF(COUNTA(D59:E59)=0,"",N(E59)-N(D59))</f>
        <v/>
      </c>
      <c r="G59" s="27"/>
      <c r="H59" s="27"/>
      <c r="I59" s="30" t="str">
        <f aca="false">IF(COUNTA(B59:E59,G59:H59)=0,"",IF(OR(C59="",E59="",H59&lt;&gt;"Sim"),"Pendente","OK"))</f>
        <v/>
      </c>
    </row>
    <row r="60" customFormat="false" ht="15" hidden="false" customHeight="false" outlineLevel="0" collapsed="false">
      <c r="B60" s="27"/>
      <c r="C60" s="27"/>
      <c r="D60" s="29"/>
      <c r="E60" s="29"/>
      <c r="F60" s="31" t="str">
        <f aca="false">IF(COUNTA(D60:E60)=0,"",N(E60)-N(D60))</f>
        <v/>
      </c>
      <c r="G60" s="27"/>
      <c r="H60" s="27"/>
      <c r="I60" s="30" t="str">
        <f aca="false">IF(COUNTA(B60:E60,G60:H60)=0,"",IF(OR(C60="",E60="",H60&lt;&gt;"Sim"),"Pendente","OK"))</f>
        <v/>
      </c>
    </row>
    <row r="61" customFormat="false" ht="15" hidden="false" customHeight="false" outlineLevel="0" collapsed="false">
      <c r="B61" s="27"/>
      <c r="C61" s="27"/>
      <c r="D61" s="29"/>
      <c r="E61" s="29"/>
      <c r="F61" s="31" t="str">
        <f aca="false">IF(COUNTA(D61:E61)=0,"",N(E61)-N(D61))</f>
        <v/>
      </c>
      <c r="G61" s="27"/>
      <c r="H61" s="27"/>
      <c r="I61" s="30" t="str">
        <f aca="false">IF(COUNTA(B61:E61,G61:H61)=0,"",IF(OR(C61="",E61="",H61&lt;&gt;"Sim"),"Pendente","OK"))</f>
        <v/>
      </c>
    </row>
    <row r="62" customFormat="false" ht="15" hidden="false" customHeight="false" outlineLevel="0" collapsed="false">
      <c r="B62" s="27"/>
      <c r="C62" s="27"/>
      <c r="D62" s="29"/>
      <c r="E62" s="29"/>
      <c r="F62" s="31" t="str">
        <f aca="false">IF(COUNTA(D62:E62)=0,"",N(E62)-N(D62))</f>
        <v/>
      </c>
      <c r="G62" s="27"/>
      <c r="H62" s="27"/>
      <c r="I62" s="30" t="str">
        <f aca="false">IF(COUNTA(B62:E62,G62:H62)=0,"",IF(OR(C62="",E62="",H62&lt;&gt;"Sim"),"Pendente","OK"))</f>
        <v/>
      </c>
    </row>
    <row r="63" customFormat="false" ht="15" hidden="false" customHeight="false" outlineLevel="0" collapsed="false">
      <c r="B63" s="27"/>
      <c r="C63" s="27"/>
      <c r="D63" s="29"/>
      <c r="E63" s="29"/>
      <c r="F63" s="31" t="str">
        <f aca="false">IF(COUNTA(D63:E63)=0,"",N(E63)-N(D63))</f>
        <v/>
      </c>
      <c r="G63" s="27"/>
      <c r="H63" s="27"/>
      <c r="I63" s="30" t="str">
        <f aca="false">IF(COUNTA(B63:E63,G63:H63)=0,"",IF(OR(C63="",E63="",H63&lt;&gt;"Sim"),"Pendente","OK"))</f>
        <v/>
      </c>
    </row>
    <row r="64" customFormat="false" ht="15" hidden="false" customHeight="false" outlineLevel="0" collapsed="false">
      <c r="B64" s="27"/>
      <c r="C64" s="27"/>
      <c r="D64" s="29"/>
      <c r="E64" s="29"/>
      <c r="F64" s="31" t="str">
        <f aca="false">IF(COUNTA(D64:E64)=0,"",N(E64)-N(D64))</f>
        <v/>
      </c>
      <c r="G64" s="27"/>
      <c r="H64" s="27"/>
      <c r="I64" s="30" t="str">
        <f aca="false">IF(COUNTA(B64:E64,G64:H64)=0,"",IF(OR(C64="",E64="",H64&lt;&gt;"Sim"),"Pendente","OK"))</f>
        <v/>
      </c>
    </row>
    <row r="65" customFormat="false" ht="15" hidden="false" customHeight="false" outlineLevel="0" collapsed="false">
      <c r="B65" s="27"/>
      <c r="C65" s="27"/>
      <c r="D65" s="29"/>
      <c r="E65" s="29"/>
      <c r="F65" s="31" t="str">
        <f aca="false">IF(COUNTA(D65:E65)=0,"",N(E65)-N(D65))</f>
        <v/>
      </c>
      <c r="G65" s="27"/>
      <c r="H65" s="27"/>
      <c r="I65" s="30" t="str">
        <f aca="false">IF(COUNTA(B65:E65,G65:H65)=0,"",IF(OR(C65="",E65="",H65&lt;&gt;"Sim"),"Pendente","OK"))</f>
        <v/>
      </c>
    </row>
    <row r="66" customFormat="false" ht="15" hidden="false" customHeight="false" outlineLevel="0" collapsed="false">
      <c r="B66" s="27"/>
      <c r="C66" s="27"/>
      <c r="D66" s="29"/>
      <c r="E66" s="29"/>
      <c r="F66" s="31" t="str">
        <f aca="false">IF(COUNTA(D66:E66)=0,"",N(E66)-N(D66))</f>
        <v/>
      </c>
      <c r="G66" s="27"/>
      <c r="H66" s="27"/>
      <c r="I66" s="30" t="str">
        <f aca="false">IF(COUNTA(B66:E66,G66:H66)=0,"",IF(OR(C66="",E66="",H66&lt;&gt;"Sim"),"Pendente","OK"))</f>
        <v/>
      </c>
    </row>
    <row r="67" customFormat="false" ht="15" hidden="false" customHeight="false" outlineLevel="0" collapsed="false">
      <c r="B67" s="27"/>
      <c r="C67" s="27"/>
      <c r="D67" s="29"/>
      <c r="E67" s="29"/>
      <c r="F67" s="31" t="str">
        <f aca="false">IF(COUNTA(D67:E67)=0,"",N(E67)-N(D67))</f>
        <v/>
      </c>
      <c r="G67" s="27"/>
      <c r="H67" s="27"/>
      <c r="I67" s="30" t="str">
        <f aca="false">IF(COUNTA(B67:E67,G67:H67)=0,"",IF(OR(C67="",E67="",H67&lt;&gt;"Sim"),"Pendente","OK"))</f>
        <v/>
      </c>
    </row>
    <row r="68" customFormat="false" ht="15" hidden="false" customHeight="false" outlineLevel="0" collapsed="false">
      <c r="B68" s="27"/>
      <c r="C68" s="27"/>
      <c r="D68" s="29"/>
      <c r="E68" s="29"/>
      <c r="F68" s="31" t="str">
        <f aca="false">IF(COUNTA(D68:E68)=0,"",N(E68)-N(D68))</f>
        <v/>
      </c>
      <c r="G68" s="27"/>
      <c r="H68" s="27"/>
      <c r="I68" s="30" t="str">
        <f aca="false">IF(COUNTA(B68:E68,G68:H68)=0,"",IF(OR(C68="",E68="",H68&lt;&gt;"Sim"),"Pendente","OK"))</f>
        <v/>
      </c>
    </row>
    <row r="69" customFormat="false" ht="15" hidden="false" customHeight="false" outlineLevel="0" collapsed="false">
      <c r="B69" s="27"/>
      <c r="C69" s="27"/>
      <c r="D69" s="29"/>
      <c r="E69" s="29"/>
      <c r="F69" s="31" t="str">
        <f aca="false">IF(COUNTA(D69:E69)=0,"",N(E69)-N(D69))</f>
        <v/>
      </c>
      <c r="G69" s="27"/>
      <c r="H69" s="27"/>
      <c r="I69" s="30" t="str">
        <f aca="false">IF(COUNTA(B69:E69,G69:H69)=0,"",IF(OR(C69="",E69="",H69&lt;&gt;"Sim"),"Pendente","OK"))</f>
        <v/>
      </c>
    </row>
    <row r="70" customFormat="false" ht="15" hidden="false" customHeight="false" outlineLevel="0" collapsed="false">
      <c r="B70" s="27"/>
      <c r="C70" s="27"/>
      <c r="D70" s="29"/>
      <c r="E70" s="29"/>
      <c r="F70" s="31" t="str">
        <f aca="false">IF(COUNTA(D70:E70)=0,"",N(E70)-N(D70))</f>
        <v/>
      </c>
      <c r="G70" s="27"/>
      <c r="H70" s="27"/>
      <c r="I70" s="30" t="str">
        <f aca="false">IF(COUNTA(B70:E70,G70:H70)=0,"",IF(OR(C70="",E70="",H70&lt;&gt;"Sim"),"Pendente","OK"))</f>
        <v/>
      </c>
    </row>
    <row r="71" customFormat="false" ht="15" hidden="false" customHeight="false" outlineLevel="0" collapsed="false">
      <c r="B71" s="27"/>
      <c r="C71" s="27"/>
      <c r="D71" s="29"/>
      <c r="E71" s="29"/>
      <c r="F71" s="31" t="str">
        <f aca="false">IF(COUNTA(D71:E71)=0,"",N(E71)-N(D71))</f>
        <v/>
      </c>
      <c r="G71" s="27"/>
      <c r="H71" s="27"/>
      <c r="I71" s="30" t="str">
        <f aca="false">IF(COUNTA(B71:E71,G71:H71)=0,"",IF(OR(C71="",E71="",H71&lt;&gt;"Sim"),"Pendente","OK"))</f>
        <v/>
      </c>
    </row>
    <row r="72" customFormat="false" ht="15" hidden="false" customHeight="false" outlineLevel="0" collapsed="false">
      <c r="B72" s="27"/>
      <c r="C72" s="27"/>
      <c r="D72" s="29"/>
      <c r="E72" s="29"/>
      <c r="F72" s="31" t="str">
        <f aca="false">IF(COUNTA(D72:E72)=0,"",N(E72)-N(D72))</f>
        <v/>
      </c>
      <c r="G72" s="27"/>
      <c r="H72" s="27"/>
      <c r="I72" s="30" t="str">
        <f aca="false">IF(COUNTA(B72:E72,G72:H72)=0,"",IF(OR(C72="",E72="",H72&lt;&gt;"Sim"),"Pendente","OK"))</f>
        <v/>
      </c>
    </row>
    <row r="73" customFormat="false" ht="15" hidden="false" customHeight="false" outlineLevel="0" collapsed="false">
      <c r="B73" s="27"/>
      <c r="C73" s="27"/>
      <c r="D73" s="29"/>
      <c r="E73" s="29"/>
      <c r="F73" s="31" t="str">
        <f aca="false">IF(COUNTA(D73:E73)=0,"",N(E73)-N(D73))</f>
        <v/>
      </c>
      <c r="G73" s="27"/>
      <c r="H73" s="27"/>
      <c r="I73" s="30" t="str">
        <f aca="false">IF(COUNTA(B73:E73,G73:H73)=0,"",IF(OR(C73="",E73="",H73&lt;&gt;"Sim"),"Pendente","OK"))</f>
        <v/>
      </c>
    </row>
    <row r="74" customFormat="false" ht="15" hidden="false" customHeight="false" outlineLevel="0" collapsed="false">
      <c r="B74" s="27"/>
      <c r="C74" s="27"/>
      <c r="D74" s="29"/>
      <c r="E74" s="29"/>
      <c r="F74" s="31" t="str">
        <f aca="false">IF(COUNTA(D74:E74)=0,"",N(E74)-N(D74))</f>
        <v/>
      </c>
      <c r="G74" s="27"/>
      <c r="H74" s="27"/>
      <c r="I74" s="30" t="str">
        <f aca="false">IF(COUNTA(B74:E74,G74:H74)=0,"",IF(OR(C74="",E74="",H74&lt;&gt;"Sim"),"Pendente","OK"))</f>
        <v/>
      </c>
    </row>
    <row r="75" customFormat="false" ht="15" hidden="false" customHeight="false" outlineLevel="0" collapsed="false">
      <c r="B75" s="27"/>
      <c r="C75" s="27"/>
      <c r="D75" s="29"/>
      <c r="E75" s="29"/>
      <c r="F75" s="31" t="str">
        <f aca="false">IF(COUNTA(D75:E75)=0,"",N(E75)-N(D75))</f>
        <v/>
      </c>
      <c r="G75" s="27"/>
      <c r="H75" s="27"/>
      <c r="I75" s="30" t="str">
        <f aca="false">IF(COUNTA(B75:E75,G75:H75)=0,"",IF(OR(C75="",E75="",H75&lt;&gt;"Sim"),"Pendente","OK"))</f>
        <v/>
      </c>
    </row>
    <row r="76" customFormat="false" ht="15" hidden="false" customHeight="false" outlineLevel="0" collapsed="false">
      <c r="B76" s="27"/>
      <c r="C76" s="27"/>
      <c r="D76" s="29"/>
      <c r="E76" s="29"/>
      <c r="F76" s="31" t="str">
        <f aca="false">IF(COUNTA(D76:E76)=0,"",N(E76)-N(D76))</f>
        <v/>
      </c>
      <c r="G76" s="27"/>
      <c r="H76" s="27"/>
      <c r="I76" s="30" t="str">
        <f aca="false">IF(COUNTA(B76:E76,G76:H76)=0,"",IF(OR(C76="",E76="",H76&lt;&gt;"Sim"),"Pendente","OK"))</f>
        <v/>
      </c>
    </row>
    <row r="77" customFormat="false" ht="15" hidden="false" customHeight="false" outlineLevel="0" collapsed="false">
      <c r="B77" s="27"/>
      <c r="C77" s="27"/>
      <c r="D77" s="29"/>
      <c r="E77" s="29"/>
      <c r="F77" s="31" t="str">
        <f aca="false">IF(COUNTA(D77:E77)=0,"",N(E77)-N(D77))</f>
        <v/>
      </c>
      <c r="G77" s="27"/>
      <c r="H77" s="27"/>
      <c r="I77" s="30" t="str">
        <f aca="false">IF(COUNTA(B77:E77,G77:H77)=0,"",IF(OR(C77="",E77="",H77&lt;&gt;"Sim"),"Pendente","OK"))</f>
        <v/>
      </c>
    </row>
    <row r="78" customFormat="false" ht="15" hidden="false" customHeight="false" outlineLevel="0" collapsed="false">
      <c r="B78" s="27"/>
      <c r="C78" s="27"/>
      <c r="D78" s="29"/>
      <c r="E78" s="29"/>
      <c r="F78" s="31" t="str">
        <f aca="false">IF(COUNTA(D78:E78)=0,"",N(E78)-N(D78))</f>
        <v/>
      </c>
      <c r="G78" s="27"/>
      <c r="H78" s="27"/>
      <c r="I78" s="30" t="str">
        <f aca="false">IF(COUNTA(B78:E78,G78:H78)=0,"",IF(OR(C78="",E78="",H78&lt;&gt;"Sim"),"Pendente","OK"))</f>
        <v/>
      </c>
    </row>
    <row r="79" customFormat="false" ht="15" hidden="false" customHeight="false" outlineLevel="0" collapsed="false">
      <c r="B79" s="27"/>
      <c r="C79" s="27"/>
      <c r="D79" s="29"/>
      <c r="E79" s="29"/>
      <c r="F79" s="31" t="str">
        <f aca="false">IF(COUNTA(D79:E79)=0,"",N(E79)-N(D79))</f>
        <v/>
      </c>
      <c r="G79" s="27"/>
      <c r="H79" s="27"/>
      <c r="I79" s="30" t="str">
        <f aca="false">IF(COUNTA(B79:E79,G79:H79)=0,"",IF(OR(C79="",E79="",H79&lt;&gt;"Sim"),"Pendente","OK"))</f>
        <v/>
      </c>
    </row>
    <row r="80" customFormat="false" ht="15" hidden="false" customHeight="false" outlineLevel="0" collapsed="false">
      <c r="B80" s="27"/>
      <c r="C80" s="27"/>
      <c r="D80" s="29"/>
      <c r="E80" s="29"/>
      <c r="F80" s="31" t="str">
        <f aca="false">IF(COUNTA(D80:E80)=0,"",N(E80)-N(D80))</f>
        <v/>
      </c>
      <c r="G80" s="27"/>
      <c r="H80" s="27"/>
      <c r="I80" s="30" t="str">
        <f aca="false">IF(COUNTA(B80:E80,G80:H80)=0,"",IF(OR(C80="",E80="",H80&lt;&gt;"Sim"),"Pendente","OK"))</f>
        <v/>
      </c>
    </row>
    <row r="81" customFormat="false" ht="15" hidden="false" customHeight="false" outlineLevel="0" collapsed="false">
      <c r="B81" s="27"/>
      <c r="C81" s="27"/>
      <c r="D81" s="29"/>
      <c r="E81" s="29"/>
      <c r="F81" s="31" t="str">
        <f aca="false">IF(COUNTA(D81:E81)=0,"",N(E81)-N(D81))</f>
        <v/>
      </c>
      <c r="G81" s="27"/>
      <c r="H81" s="27"/>
      <c r="I81" s="30" t="str">
        <f aca="false">IF(COUNTA(B81:E81,G81:H81)=0,"",IF(OR(C81="",E81="",H81&lt;&gt;"Sim"),"Pendente","OK"))</f>
        <v/>
      </c>
    </row>
    <row r="82" customFormat="false" ht="15" hidden="false" customHeight="false" outlineLevel="0" collapsed="false">
      <c r="B82" s="27"/>
      <c r="C82" s="27"/>
      <c r="D82" s="29"/>
      <c r="E82" s="29"/>
      <c r="F82" s="31" t="str">
        <f aca="false">IF(COUNTA(D82:E82)=0,"",N(E82)-N(D82))</f>
        <v/>
      </c>
      <c r="G82" s="27"/>
      <c r="H82" s="27"/>
      <c r="I82" s="30" t="str">
        <f aca="false">IF(COUNTA(B82:E82,G82:H82)=0,"",IF(OR(C82="",E82="",H82&lt;&gt;"Sim"),"Pendente","OK"))</f>
        <v/>
      </c>
    </row>
    <row r="83" customFormat="false" ht="15" hidden="false" customHeight="false" outlineLevel="0" collapsed="false">
      <c r="B83" s="27"/>
      <c r="C83" s="27"/>
      <c r="D83" s="29"/>
      <c r="E83" s="29"/>
      <c r="F83" s="31" t="str">
        <f aca="false">IF(COUNTA(D83:E83)=0,"",N(E83)-N(D83))</f>
        <v/>
      </c>
      <c r="G83" s="27"/>
      <c r="H83" s="27"/>
      <c r="I83" s="30" t="str">
        <f aca="false">IF(COUNTA(B83:E83,G83:H83)=0,"",IF(OR(C83="",E83="",H83&lt;&gt;"Sim"),"Pendente","OK"))</f>
        <v/>
      </c>
    </row>
    <row r="84" customFormat="false" ht="15" hidden="false" customHeight="false" outlineLevel="0" collapsed="false">
      <c r="B84" s="27"/>
      <c r="C84" s="27"/>
      <c r="D84" s="29"/>
      <c r="E84" s="29"/>
      <c r="F84" s="31" t="str">
        <f aca="false">IF(COUNTA(D84:E84)=0,"",N(E84)-N(D84))</f>
        <v/>
      </c>
      <c r="G84" s="27"/>
      <c r="H84" s="27"/>
      <c r="I84" s="30" t="str">
        <f aca="false">IF(COUNTA(B84:E84,G84:H84)=0,"",IF(OR(C84="",E84="",H84&lt;&gt;"Sim"),"Pendente","OK"))</f>
        <v/>
      </c>
    </row>
    <row r="85" customFormat="false" ht="15" hidden="false" customHeight="false" outlineLevel="0" collapsed="false">
      <c r="B85" s="27"/>
      <c r="C85" s="27"/>
      <c r="D85" s="29"/>
      <c r="E85" s="29"/>
      <c r="F85" s="31" t="str">
        <f aca="false">IF(COUNTA(D85:E85)=0,"",N(E85)-N(D85))</f>
        <v/>
      </c>
      <c r="G85" s="27"/>
      <c r="H85" s="27"/>
      <c r="I85" s="30" t="str">
        <f aca="false">IF(COUNTA(B85:E85,G85:H85)=0,"",IF(OR(C85="",E85="",H85&lt;&gt;"Sim"),"Pendente","OK"))</f>
        <v/>
      </c>
    </row>
    <row r="86" customFormat="false" ht="15" hidden="false" customHeight="false" outlineLevel="0" collapsed="false">
      <c r="B86" s="27"/>
      <c r="C86" s="27"/>
      <c r="D86" s="29"/>
      <c r="E86" s="29"/>
      <c r="F86" s="31" t="str">
        <f aca="false">IF(COUNTA(D86:E86)=0,"",N(E86)-N(D86))</f>
        <v/>
      </c>
      <c r="G86" s="27"/>
      <c r="H86" s="27"/>
      <c r="I86" s="30" t="str">
        <f aca="false">IF(COUNTA(B86:E86,G86:H86)=0,"",IF(OR(C86="",E86="",H86&lt;&gt;"Sim"),"Pendente","OK"))</f>
        <v/>
      </c>
    </row>
    <row r="87" customFormat="false" ht="15" hidden="false" customHeight="false" outlineLevel="0" collapsed="false">
      <c r="B87" s="27"/>
      <c r="C87" s="27"/>
      <c r="D87" s="29"/>
      <c r="E87" s="29"/>
      <c r="F87" s="31" t="str">
        <f aca="false">IF(COUNTA(D87:E87)=0,"",N(E87)-N(D87))</f>
        <v/>
      </c>
      <c r="G87" s="27"/>
      <c r="H87" s="27"/>
      <c r="I87" s="30" t="str">
        <f aca="false">IF(COUNTA(B87:E87,G87:H87)=0,"",IF(OR(C87="",E87="",H87&lt;&gt;"Sim"),"Pendente","OK"))</f>
        <v/>
      </c>
    </row>
    <row r="88" customFormat="false" ht="15" hidden="false" customHeight="false" outlineLevel="0" collapsed="false">
      <c r="B88" s="27"/>
      <c r="C88" s="27"/>
      <c r="D88" s="29"/>
      <c r="E88" s="29"/>
      <c r="F88" s="31" t="str">
        <f aca="false">IF(COUNTA(D88:E88)=0,"",N(E88)-N(D88))</f>
        <v/>
      </c>
      <c r="G88" s="27"/>
      <c r="H88" s="27"/>
      <c r="I88" s="30" t="str">
        <f aca="false">IF(COUNTA(B88:E88,G88:H88)=0,"",IF(OR(C88="",E88="",H88&lt;&gt;"Sim"),"Pendente","OK"))</f>
        <v/>
      </c>
    </row>
    <row r="89" customFormat="false" ht="15" hidden="false" customHeight="false" outlineLevel="0" collapsed="false">
      <c r="B89" s="27"/>
      <c r="C89" s="27"/>
      <c r="D89" s="29"/>
      <c r="E89" s="29"/>
      <c r="F89" s="31" t="str">
        <f aca="false">IF(COUNTA(D89:E89)=0,"",N(E89)-N(D89))</f>
        <v/>
      </c>
      <c r="G89" s="27"/>
      <c r="H89" s="27"/>
      <c r="I89" s="30" t="str">
        <f aca="false">IF(COUNTA(B89:E89,G89:H89)=0,"",IF(OR(C89="",E89="",H89&lt;&gt;"Sim"),"Pendente","OK"))</f>
        <v/>
      </c>
    </row>
    <row r="90" customFormat="false" ht="15" hidden="false" customHeight="false" outlineLevel="0" collapsed="false">
      <c r="B90" s="27"/>
      <c r="C90" s="27"/>
      <c r="D90" s="29"/>
      <c r="E90" s="29"/>
      <c r="F90" s="31" t="str">
        <f aca="false">IF(COUNTA(D90:E90)=0,"",N(E90)-N(D90))</f>
        <v/>
      </c>
      <c r="G90" s="27"/>
      <c r="H90" s="27"/>
      <c r="I90" s="30" t="str">
        <f aca="false">IF(COUNTA(B90:E90,G90:H90)=0,"",IF(OR(C90="",E90="",H90&lt;&gt;"Sim"),"Pendente","OK"))</f>
        <v/>
      </c>
    </row>
    <row r="91" customFormat="false" ht="15" hidden="false" customHeight="false" outlineLevel="0" collapsed="false">
      <c r="B91" s="27"/>
      <c r="C91" s="27"/>
      <c r="D91" s="29"/>
      <c r="E91" s="29"/>
      <c r="F91" s="31" t="str">
        <f aca="false">IF(COUNTA(D91:E91)=0,"",N(E91)-N(D91))</f>
        <v/>
      </c>
      <c r="G91" s="27"/>
      <c r="H91" s="27"/>
      <c r="I91" s="30" t="str">
        <f aca="false">IF(COUNTA(B91:E91,G91:H91)=0,"",IF(OR(C91="",E91="",H91&lt;&gt;"Sim"),"Pendente","OK"))</f>
        <v/>
      </c>
    </row>
    <row r="92" customFormat="false" ht="15" hidden="false" customHeight="false" outlineLevel="0" collapsed="false">
      <c r="B92" s="27"/>
      <c r="C92" s="27"/>
      <c r="D92" s="29"/>
      <c r="E92" s="29"/>
      <c r="F92" s="31" t="str">
        <f aca="false">IF(COUNTA(D92:E92)=0,"",N(E92)-N(D92))</f>
        <v/>
      </c>
      <c r="G92" s="27"/>
      <c r="H92" s="27"/>
      <c r="I92" s="30" t="str">
        <f aca="false">IF(COUNTA(B92:E92,G92:H92)=0,"",IF(OR(C92="",E92="",H92&lt;&gt;"Sim"),"Pendente","OK"))</f>
        <v/>
      </c>
    </row>
    <row r="93" customFormat="false" ht="15" hidden="false" customHeight="false" outlineLevel="0" collapsed="false">
      <c r="B93" s="27"/>
      <c r="C93" s="27"/>
      <c r="D93" s="29"/>
      <c r="E93" s="29"/>
      <c r="F93" s="31" t="str">
        <f aca="false">IF(COUNTA(D93:E93)=0,"",N(E93)-N(D93))</f>
        <v/>
      </c>
      <c r="G93" s="27"/>
      <c r="H93" s="27"/>
      <c r="I93" s="30" t="str">
        <f aca="false">IF(COUNTA(B93:E93,G93:H93)=0,"",IF(OR(C93="",E93="",H93&lt;&gt;"Sim"),"Pendente","OK"))</f>
        <v/>
      </c>
    </row>
    <row r="94" customFormat="false" ht="15" hidden="false" customHeight="false" outlineLevel="0" collapsed="false">
      <c r="B94" s="27"/>
      <c r="C94" s="27"/>
      <c r="D94" s="29"/>
      <c r="E94" s="29"/>
      <c r="F94" s="31" t="str">
        <f aca="false">IF(COUNTA(D94:E94)=0,"",N(E94)-N(D94))</f>
        <v/>
      </c>
      <c r="G94" s="27"/>
      <c r="H94" s="27"/>
      <c r="I94" s="30" t="str">
        <f aca="false">IF(COUNTA(B94:E94,G94:H94)=0,"",IF(OR(C94="",E94="",H94&lt;&gt;"Sim"),"Pendente","OK"))</f>
        <v/>
      </c>
    </row>
    <row r="95" customFormat="false" ht="15" hidden="false" customHeight="false" outlineLevel="0" collapsed="false">
      <c r="B95" s="27"/>
      <c r="C95" s="27"/>
      <c r="D95" s="29"/>
      <c r="E95" s="29"/>
      <c r="F95" s="31" t="str">
        <f aca="false">IF(COUNTA(D95:E95)=0,"",N(E95)-N(D95))</f>
        <v/>
      </c>
      <c r="G95" s="27"/>
      <c r="H95" s="27"/>
      <c r="I95" s="30" t="str">
        <f aca="false">IF(COUNTA(B95:E95,G95:H95)=0,"",IF(OR(C95="",E95="",H95&lt;&gt;"Sim"),"Pendente","OK"))</f>
        <v/>
      </c>
    </row>
    <row r="96" customFormat="false" ht="15" hidden="false" customHeight="false" outlineLevel="0" collapsed="false">
      <c r="B96" s="27"/>
      <c r="C96" s="27"/>
      <c r="D96" s="29"/>
      <c r="E96" s="29"/>
      <c r="F96" s="31" t="str">
        <f aca="false">IF(COUNTA(D96:E96)=0,"",N(E96)-N(D96))</f>
        <v/>
      </c>
      <c r="G96" s="27"/>
      <c r="H96" s="27"/>
      <c r="I96" s="30" t="str">
        <f aca="false">IF(COUNTA(B96:E96,G96:H96)=0,"",IF(OR(C96="",E96="",H96&lt;&gt;"Sim"),"Pendente","OK"))</f>
        <v/>
      </c>
    </row>
    <row r="97" customFormat="false" ht="15" hidden="false" customHeight="false" outlineLevel="0" collapsed="false">
      <c r="B97" s="27"/>
      <c r="C97" s="27"/>
      <c r="D97" s="29"/>
      <c r="E97" s="29"/>
      <c r="F97" s="31" t="str">
        <f aca="false">IF(COUNTA(D97:E97)=0,"",N(E97)-N(D97))</f>
        <v/>
      </c>
      <c r="G97" s="27"/>
      <c r="H97" s="27"/>
      <c r="I97" s="30" t="str">
        <f aca="false">IF(COUNTA(B97:E97,G97:H97)=0,"",IF(OR(C97="",E97="",H97&lt;&gt;"Sim"),"Pendente","OK"))</f>
        <v/>
      </c>
    </row>
    <row r="98" customFormat="false" ht="15" hidden="false" customHeight="false" outlineLevel="0" collapsed="false">
      <c r="B98" s="27"/>
      <c r="C98" s="27"/>
      <c r="D98" s="29"/>
      <c r="E98" s="29"/>
      <c r="F98" s="31" t="str">
        <f aca="false">IF(COUNTA(D98:E98)=0,"",N(E98)-N(D98))</f>
        <v/>
      </c>
      <c r="G98" s="27"/>
      <c r="H98" s="27"/>
      <c r="I98" s="30" t="str">
        <f aca="false">IF(COUNTA(B98:E98,G98:H98)=0,"",IF(OR(C98="",E98="",H98&lt;&gt;"Sim"),"Pendente","OK"))</f>
        <v/>
      </c>
    </row>
    <row r="99" customFormat="false" ht="15" hidden="false" customHeight="false" outlineLevel="0" collapsed="false">
      <c r="B99" s="27"/>
      <c r="C99" s="27"/>
      <c r="D99" s="29"/>
      <c r="E99" s="29"/>
      <c r="F99" s="31" t="str">
        <f aca="false">IF(COUNTA(D99:E99)=0,"",N(E99)-N(D99))</f>
        <v/>
      </c>
      <c r="G99" s="27"/>
      <c r="H99" s="27"/>
      <c r="I99" s="30" t="str">
        <f aca="false">IF(COUNTA(B99:E99,G99:H99)=0,"",IF(OR(C99="",E99="",H99&lt;&gt;"Sim"),"Pendente","OK"))</f>
        <v/>
      </c>
    </row>
    <row r="100" customFormat="false" ht="15" hidden="false" customHeight="false" outlineLevel="0" collapsed="false">
      <c r="B100" s="27"/>
      <c r="C100" s="27"/>
      <c r="D100" s="29"/>
      <c r="E100" s="29"/>
      <c r="F100" s="31" t="str">
        <f aca="false">IF(COUNTA(D100:E100)=0,"",N(E100)-N(D100))</f>
        <v/>
      </c>
      <c r="G100" s="27"/>
      <c r="H100" s="27"/>
      <c r="I100" s="30" t="str">
        <f aca="false">IF(COUNTA(B100:E100,G100:H100)=0,"",IF(OR(C100="",E100="",H100&lt;&gt;"Sim"),"Pendente","OK"))</f>
        <v/>
      </c>
    </row>
    <row r="101" customFormat="false" ht="15" hidden="false" customHeight="false" outlineLevel="0" collapsed="false">
      <c r="B101" s="27"/>
      <c r="C101" s="27"/>
      <c r="D101" s="29"/>
      <c r="E101" s="29"/>
      <c r="F101" s="31" t="str">
        <f aca="false">IF(COUNTA(D101:E101)=0,"",N(E101)-N(D101))</f>
        <v/>
      </c>
      <c r="G101" s="27"/>
      <c r="H101" s="27"/>
      <c r="I101" s="30" t="str">
        <f aca="false">IF(COUNTA(B101:E101,G101:H101)=0,"",IF(OR(C101="",E101="",H101&lt;&gt;"Sim"),"Pendente","OK"))</f>
        <v/>
      </c>
    </row>
    <row r="102" customFormat="false" ht="15" hidden="false" customHeight="false" outlineLevel="0" collapsed="false">
      <c r="B102" s="27"/>
      <c r="C102" s="27"/>
      <c r="D102" s="29"/>
      <c r="E102" s="29"/>
      <c r="F102" s="31" t="str">
        <f aca="false">IF(COUNTA(D102:E102)=0,"",N(E102)-N(D102))</f>
        <v/>
      </c>
      <c r="G102" s="27"/>
      <c r="H102" s="27"/>
      <c r="I102" s="30" t="str">
        <f aca="false">IF(COUNTA(B102:E102,G102:H102)=0,"",IF(OR(C102="",E102="",H102&lt;&gt;"Sim"),"Pendente","OK"))</f>
        <v/>
      </c>
    </row>
    <row r="103" customFormat="false" ht="15" hidden="false" customHeight="false" outlineLevel="0" collapsed="false">
      <c r="B103" s="27"/>
      <c r="C103" s="27"/>
      <c r="D103" s="29"/>
      <c r="E103" s="29"/>
      <c r="F103" s="31" t="str">
        <f aca="false">IF(COUNTA(D103:E103)=0,"",N(E103)-N(D103))</f>
        <v/>
      </c>
      <c r="G103" s="27"/>
      <c r="H103" s="27"/>
      <c r="I103" s="30" t="str">
        <f aca="false">IF(COUNTA(B103:E103,G103:H103)=0,"",IF(OR(C103="",E103="",H103&lt;&gt;"Sim"),"Pendente","OK"))</f>
        <v/>
      </c>
    </row>
    <row r="104" customFormat="false" ht="15" hidden="false" customHeight="false" outlineLevel="0" collapsed="false">
      <c r="B104" s="27"/>
      <c r="C104" s="27"/>
      <c r="D104" s="29"/>
      <c r="E104" s="29"/>
      <c r="F104" s="31" t="str">
        <f aca="false">IF(COUNTA(D104:E104)=0,"",N(E104)-N(D104))</f>
        <v/>
      </c>
      <c r="G104" s="27"/>
      <c r="H104" s="27"/>
      <c r="I104" s="30" t="str">
        <f aca="false">IF(COUNTA(B104:E104,G104:H104)=0,"",IF(OR(C104="",E104="",H104&lt;&gt;"Sim"),"Pendente","OK"))</f>
        <v/>
      </c>
    </row>
    <row r="105" customFormat="false" ht="15" hidden="false" customHeight="false" outlineLevel="0" collapsed="false">
      <c r="B105" s="27"/>
      <c r="C105" s="27"/>
      <c r="D105" s="29"/>
      <c r="E105" s="29"/>
      <c r="F105" s="31" t="str">
        <f aca="false">IF(COUNTA(D105:E105)=0,"",N(E105)-N(D105))</f>
        <v/>
      </c>
      <c r="G105" s="27"/>
      <c r="H105" s="27"/>
      <c r="I105" s="30" t="str">
        <f aca="false">IF(COUNTA(B105:E105,G105:H105)=0,"",IF(OR(C105="",E105="",H105&lt;&gt;"Sim"),"Pendente","OK"))</f>
        <v/>
      </c>
    </row>
    <row r="106" customFormat="false" ht="15" hidden="false" customHeight="false" outlineLevel="0" collapsed="false">
      <c r="B106" s="27"/>
      <c r="C106" s="27"/>
      <c r="D106" s="29"/>
      <c r="E106" s="29"/>
      <c r="F106" s="31" t="str">
        <f aca="false">IF(COUNTA(D106:E106)=0,"",N(E106)-N(D106))</f>
        <v/>
      </c>
      <c r="G106" s="27"/>
      <c r="H106" s="27"/>
      <c r="I106" s="30" t="str">
        <f aca="false">IF(COUNTA(B106:E106,G106:H106)=0,"",IF(OR(C106="",E106="",H106&lt;&gt;"Sim"),"Pendente","OK"))</f>
        <v/>
      </c>
    </row>
    <row r="107" customFormat="false" ht="15" hidden="false" customHeight="false" outlineLevel="0" collapsed="false">
      <c r="B107" s="27"/>
      <c r="C107" s="27"/>
      <c r="D107" s="29"/>
      <c r="E107" s="29"/>
      <c r="F107" s="31" t="str">
        <f aca="false">IF(COUNTA(D107:E107)=0,"",N(E107)-N(D107))</f>
        <v/>
      </c>
      <c r="G107" s="27"/>
      <c r="H107" s="27"/>
      <c r="I107" s="30" t="str">
        <f aca="false">IF(COUNTA(B107:E107,G107:H107)=0,"",IF(OR(C107="",E107="",H107&lt;&gt;"Sim"),"Pendente","OK"))</f>
        <v/>
      </c>
    </row>
    <row r="108" customFormat="false" ht="15" hidden="false" customHeight="false" outlineLevel="0" collapsed="false">
      <c r="B108" s="27"/>
      <c r="C108" s="27"/>
      <c r="D108" s="29"/>
      <c r="E108" s="29"/>
      <c r="F108" s="31" t="str">
        <f aca="false">IF(COUNTA(D108:E108)=0,"",N(E108)-N(D108))</f>
        <v/>
      </c>
      <c r="G108" s="27"/>
      <c r="H108" s="27"/>
      <c r="I108" s="30" t="str">
        <f aca="false">IF(COUNTA(B108:E108,G108:H108)=0,"",IF(OR(C108="",E108="",H108&lt;&gt;"Sim"),"Pendente","OK"))</f>
        <v/>
      </c>
    </row>
    <row r="109" customFormat="false" ht="15" hidden="false" customHeight="false" outlineLevel="0" collapsed="false">
      <c r="B109" s="27"/>
      <c r="C109" s="27"/>
      <c r="D109" s="29"/>
      <c r="E109" s="29"/>
      <c r="F109" s="31" t="str">
        <f aca="false">IF(COUNTA(D109:E109)=0,"",N(E109)-N(D109))</f>
        <v/>
      </c>
      <c r="G109" s="27"/>
      <c r="H109" s="27"/>
      <c r="I109" s="30" t="str">
        <f aca="false">IF(COUNTA(B109:E109,G109:H109)=0,"",IF(OR(C109="",E109="",H109&lt;&gt;"Sim"),"Pendente","OK"))</f>
        <v/>
      </c>
    </row>
    <row r="110" customFormat="false" ht="15" hidden="false" customHeight="false" outlineLevel="0" collapsed="false">
      <c r="B110" s="27"/>
      <c r="C110" s="27"/>
      <c r="D110" s="29"/>
      <c r="E110" s="29"/>
      <c r="F110" s="31" t="str">
        <f aca="false">IF(COUNTA(D110:E110)=0,"",N(E110)-N(D110))</f>
        <v/>
      </c>
      <c r="G110" s="27"/>
      <c r="H110" s="27"/>
      <c r="I110" s="30" t="str">
        <f aca="false">IF(COUNTA(B110:E110,G110:H110)=0,"",IF(OR(C110="",E110="",H110&lt;&gt;"Sim"),"Pendente","OK"))</f>
        <v/>
      </c>
    </row>
    <row r="111" customFormat="false" ht="15" hidden="false" customHeight="false" outlineLevel="0" collapsed="false">
      <c r="B111" s="27"/>
      <c r="C111" s="27"/>
      <c r="D111" s="29"/>
      <c r="E111" s="29"/>
      <c r="F111" s="31" t="str">
        <f aca="false">IF(COUNTA(D111:E111)=0,"",N(E111)-N(D111))</f>
        <v/>
      </c>
      <c r="G111" s="27"/>
      <c r="H111" s="27"/>
      <c r="I111" s="30" t="str">
        <f aca="false">IF(COUNTA(B111:E111,G111:H111)=0,"",IF(OR(C111="",E111="",H111&lt;&gt;"Sim"),"Pendente","OK"))</f>
        <v/>
      </c>
    </row>
    <row r="112" customFormat="false" ht="15" hidden="false" customHeight="false" outlineLevel="0" collapsed="false">
      <c r="B112" s="27"/>
      <c r="C112" s="27"/>
      <c r="D112" s="29"/>
      <c r="E112" s="29"/>
      <c r="F112" s="31" t="str">
        <f aca="false">IF(COUNTA(D112:E112)=0,"",N(E112)-N(D112))</f>
        <v/>
      </c>
      <c r="G112" s="27"/>
      <c r="H112" s="27"/>
      <c r="I112" s="30" t="str">
        <f aca="false">IF(COUNTA(B112:E112,G112:H112)=0,"",IF(OR(C112="",E112="",H112&lt;&gt;"Sim"),"Pendente","OK"))</f>
        <v/>
      </c>
    </row>
    <row r="113" customFormat="false" ht="15" hidden="false" customHeight="false" outlineLevel="0" collapsed="false">
      <c r="B113" s="27"/>
      <c r="C113" s="27"/>
      <c r="D113" s="29"/>
      <c r="E113" s="29"/>
      <c r="F113" s="31" t="str">
        <f aca="false">IF(COUNTA(D113:E113)=0,"",N(E113)-N(D113))</f>
        <v/>
      </c>
      <c r="G113" s="27"/>
      <c r="H113" s="27"/>
      <c r="I113" s="30" t="str">
        <f aca="false">IF(COUNTA(B113:E113,G113:H113)=0,"",IF(OR(C113="",E113="",H113&lt;&gt;"Sim"),"Pendente","OK"))</f>
        <v/>
      </c>
    </row>
    <row r="114" customFormat="false" ht="15" hidden="false" customHeight="false" outlineLevel="0" collapsed="false">
      <c r="B114" s="27"/>
      <c r="C114" s="27"/>
      <c r="D114" s="29"/>
      <c r="E114" s="29"/>
      <c r="F114" s="31" t="str">
        <f aca="false">IF(COUNTA(D114:E114)=0,"",N(E114)-N(D114))</f>
        <v/>
      </c>
      <c r="G114" s="27"/>
      <c r="H114" s="27"/>
      <c r="I114" s="30" t="str">
        <f aca="false">IF(COUNTA(B114:E114,G114:H114)=0,"",IF(OR(C114="",E114="",H114&lt;&gt;"Sim"),"Pendente","OK"))</f>
        <v/>
      </c>
    </row>
    <row r="115" customFormat="false" ht="15" hidden="false" customHeight="false" outlineLevel="0" collapsed="false">
      <c r="B115" s="27"/>
      <c r="C115" s="27"/>
      <c r="D115" s="29"/>
      <c r="E115" s="29"/>
      <c r="F115" s="31" t="str">
        <f aca="false">IF(COUNTA(D115:E115)=0,"",N(E115)-N(D115))</f>
        <v/>
      </c>
      <c r="G115" s="27"/>
      <c r="H115" s="27"/>
      <c r="I115" s="30" t="str">
        <f aca="false">IF(COUNTA(B115:E115,G115:H115)=0,"",IF(OR(C115="",E115="",H115&lt;&gt;"Sim"),"Pendente","OK"))</f>
        <v/>
      </c>
    </row>
    <row r="116" customFormat="false" ht="15" hidden="false" customHeight="false" outlineLevel="0" collapsed="false">
      <c r="B116" s="27"/>
      <c r="C116" s="27"/>
      <c r="D116" s="29"/>
      <c r="E116" s="29"/>
      <c r="F116" s="31" t="str">
        <f aca="false">IF(COUNTA(D116:E116)=0,"",N(E116)-N(D116))</f>
        <v/>
      </c>
      <c r="G116" s="27"/>
      <c r="H116" s="27"/>
      <c r="I116" s="30" t="str">
        <f aca="false">IF(COUNTA(B116:E116,G116:H116)=0,"",IF(OR(C116="",E116="",H116&lt;&gt;"Sim"),"Pendente","OK"))</f>
        <v/>
      </c>
    </row>
    <row r="117" customFormat="false" ht="15" hidden="false" customHeight="false" outlineLevel="0" collapsed="false">
      <c r="B117" s="27"/>
      <c r="C117" s="27"/>
      <c r="D117" s="29"/>
      <c r="E117" s="29"/>
      <c r="F117" s="31" t="str">
        <f aca="false">IF(COUNTA(D117:E117)=0,"",N(E117)-N(D117))</f>
        <v/>
      </c>
      <c r="G117" s="27"/>
      <c r="H117" s="27"/>
      <c r="I117" s="30" t="str">
        <f aca="false">IF(COUNTA(B117:E117,G117:H117)=0,"",IF(OR(C117="",E117="",H117&lt;&gt;"Sim"),"Pendente","OK"))</f>
        <v/>
      </c>
    </row>
    <row r="118" customFormat="false" ht="15" hidden="false" customHeight="false" outlineLevel="0" collapsed="false">
      <c r="B118" s="27"/>
      <c r="C118" s="27"/>
      <c r="D118" s="29"/>
      <c r="E118" s="29"/>
      <c r="F118" s="31" t="str">
        <f aca="false">IF(COUNTA(D118:E118)=0,"",N(E118)-N(D118))</f>
        <v/>
      </c>
      <c r="G118" s="27"/>
      <c r="H118" s="27"/>
      <c r="I118" s="30" t="str">
        <f aca="false">IF(COUNTA(B118:E118,G118:H118)=0,"",IF(OR(C118="",E118="",H118&lt;&gt;"Sim"),"Pendente","OK"))</f>
        <v/>
      </c>
    </row>
    <row r="119" customFormat="false" ht="15" hidden="false" customHeight="false" outlineLevel="0" collapsed="false">
      <c r="B119" s="27"/>
      <c r="C119" s="27"/>
      <c r="D119" s="29"/>
      <c r="E119" s="29"/>
      <c r="F119" s="31" t="str">
        <f aca="false">IF(COUNTA(D119:E119)=0,"",N(E119)-N(D119))</f>
        <v/>
      </c>
      <c r="G119" s="27"/>
      <c r="H119" s="27"/>
      <c r="I119" s="30" t="str">
        <f aca="false">IF(COUNTA(B119:E119,G119:H119)=0,"",IF(OR(C119="",E119="",H119&lt;&gt;"Sim"),"Pendente","OK"))</f>
        <v/>
      </c>
    </row>
    <row r="120" customFormat="false" ht="15" hidden="false" customHeight="false" outlineLevel="0" collapsed="false">
      <c r="B120" s="27"/>
      <c r="C120" s="27"/>
      <c r="D120" s="29"/>
      <c r="E120" s="29"/>
      <c r="F120" s="31" t="str">
        <f aca="false">IF(COUNTA(D120:E120)=0,"",N(E120)-N(D120))</f>
        <v/>
      </c>
      <c r="G120" s="27"/>
      <c r="H120" s="27"/>
      <c r="I120" s="30" t="str">
        <f aca="false">IF(COUNTA(B120:E120,G120:H120)=0,"",IF(OR(C120="",E120="",H120&lt;&gt;"Sim"),"Pendente","OK"))</f>
        <v/>
      </c>
    </row>
    <row r="121" customFormat="false" ht="15" hidden="false" customHeight="false" outlineLevel="0" collapsed="false">
      <c r="B121" s="27"/>
      <c r="C121" s="27"/>
      <c r="D121" s="29"/>
      <c r="E121" s="29"/>
      <c r="F121" s="31" t="str">
        <f aca="false">IF(COUNTA(D121:E121)=0,"",N(E121)-N(D121))</f>
        <v/>
      </c>
      <c r="G121" s="27"/>
      <c r="H121" s="27"/>
      <c r="I121" s="30" t="str">
        <f aca="false">IF(COUNTA(B121:E121,G121:H121)=0,"",IF(OR(C121="",E121="",H121&lt;&gt;"Sim"),"Pendente","OK"))</f>
        <v/>
      </c>
    </row>
    <row r="122" customFormat="false" ht="15" hidden="false" customHeight="false" outlineLevel="0" collapsed="false">
      <c r="B122" s="27"/>
      <c r="C122" s="27"/>
      <c r="D122" s="29"/>
      <c r="E122" s="29"/>
      <c r="F122" s="31" t="str">
        <f aca="false">IF(COUNTA(D122:E122)=0,"",N(E122)-N(D122))</f>
        <v/>
      </c>
      <c r="G122" s="27"/>
      <c r="H122" s="27"/>
      <c r="I122" s="30" t="str">
        <f aca="false">IF(COUNTA(B122:E122,G122:H122)=0,"",IF(OR(C122="",E122="",H122&lt;&gt;"Sim"),"Pendente","OK"))</f>
        <v/>
      </c>
    </row>
    <row r="123" customFormat="false" ht="15" hidden="false" customHeight="false" outlineLevel="0" collapsed="false">
      <c r="B123" s="27"/>
      <c r="C123" s="27"/>
      <c r="D123" s="29"/>
      <c r="E123" s="29"/>
      <c r="F123" s="31" t="str">
        <f aca="false">IF(COUNTA(D123:E123)=0,"",N(E123)-N(D123))</f>
        <v/>
      </c>
      <c r="G123" s="27"/>
      <c r="H123" s="27"/>
      <c r="I123" s="30" t="str">
        <f aca="false">IF(COUNTA(B123:E123,G123:H123)=0,"",IF(OR(C123="",E123="",H123&lt;&gt;"Sim"),"Pendente","OK"))</f>
        <v/>
      </c>
    </row>
    <row r="124" customFormat="false" ht="15" hidden="false" customHeight="false" outlineLevel="0" collapsed="false">
      <c r="B124" s="27"/>
      <c r="C124" s="27"/>
      <c r="D124" s="29"/>
      <c r="E124" s="29"/>
      <c r="F124" s="31" t="str">
        <f aca="false">IF(COUNTA(D124:E124)=0,"",N(E124)-N(D124))</f>
        <v/>
      </c>
      <c r="G124" s="27"/>
      <c r="H124" s="27"/>
      <c r="I124" s="30" t="str">
        <f aca="false">IF(COUNTA(B124:E124,G124:H124)=0,"",IF(OR(C124="",E124="",H124&lt;&gt;"Sim"),"Pendente","OK"))</f>
        <v/>
      </c>
    </row>
    <row r="125" customFormat="false" ht="15" hidden="false" customHeight="false" outlineLevel="0" collapsed="false">
      <c r="B125" s="27"/>
      <c r="C125" s="27"/>
      <c r="D125" s="29"/>
      <c r="E125" s="29"/>
      <c r="F125" s="31" t="str">
        <f aca="false">IF(COUNTA(D125:E125)=0,"",N(E125)-N(D125))</f>
        <v/>
      </c>
      <c r="G125" s="27"/>
      <c r="H125" s="27"/>
      <c r="I125" s="30" t="str">
        <f aca="false">IF(COUNTA(B125:E125,G125:H125)=0,"",IF(OR(C125="",E125="",H125&lt;&gt;"Sim"),"Pendente","OK"))</f>
        <v/>
      </c>
    </row>
    <row r="126" customFormat="false" ht="15" hidden="false" customHeight="false" outlineLevel="0" collapsed="false">
      <c r="B126" s="27"/>
      <c r="C126" s="27"/>
      <c r="D126" s="29"/>
      <c r="E126" s="29"/>
      <c r="F126" s="31" t="str">
        <f aca="false">IF(COUNTA(D126:E126)=0,"",N(E126)-N(D126))</f>
        <v/>
      </c>
      <c r="G126" s="27"/>
      <c r="H126" s="27"/>
      <c r="I126" s="30" t="str">
        <f aca="false">IF(COUNTA(B126:E126,G126:H126)=0,"",IF(OR(C126="",E126="",H126&lt;&gt;"Sim"),"Pendente","OK"))</f>
        <v/>
      </c>
    </row>
    <row r="127" customFormat="false" ht="15" hidden="false" customHeight="false" outlineLevel="0" collapsed="false">
      <c r="B127" s="27"/>
      <c r="C127" s="27"/>
      <c r="D127" s="29"/>
      <c r="E127" s="29"/>
      <c r="F127" s="31" t="str">
        <f aca="false">IF(COUNTA(D127:E127)=0,"",N(E127)-N(D127))</f>
        <v/>
      </c>
      <c r="G127" s="27"/>
      <c r="H127" s="27"/>
      <c r="I127" s="30" t="str">
        <f aca="false">IF(COUNTA(B127:E127,G127:H127)=0,"",IF(OR(C127="",E127="",H127&lt;&gt;"Sim"),"Pendente","OK"))</f>
        <v/>
      </c>
    </row>
    <row r="128" customFormat="false" ht="15" hidden="false" customHeight="false" outlineLevel="0" collapsed="false">
      <c r="B128" s="27"/>
      <c r="C128" s="27"/>
      <c r="D128" s="29"/>
      <c r="E128" s="29"/>
      <c r="F128" s="31" t="str">
        <f aca="false">IF(COUNTA(D128:E128)=0,"",N(E128)-N(D128))</f>
        <v/>
      </c>
      <c r="G128" s="27"/>
      <c r="H128" s="27"/>
      <c r="I128" s="30" t="str">
        <f aca="false">IF(COUNTA(B128:E128,G128:H128)=0,"",IF(OR(C128="",E128="",H128&lt;&gt;"Sim"),"Pendente","OK"))</f>
        <v/>
      </c>
    </row>
    <row r="129" customFormat="false" ht="15" hidden="false" customHeight="false" outlineLevel="0" collapsed="false">
      <c r="B129" s="27"/>
      <c r="C129" s="27"/>
      <c r="D129" s="29"/>
      <c r="E129" s="29"/>
      <c r="F129" s="31" t="str">
        <f aca="false">IF(COUNTA(D129:E129)=0,"",N(E129)-N(D129))</f>
        <v/>
      </c>
      <c r="G129" s="27"/>
      <c r="H129" s="27"/>
      <c r="I129" s="30" t="str">
        <f aca="false">IF(COUNTA(B129:E129,G129:H129)=0,"",IF(OR(C129="",E129="",H129&lt;&gt;"Sim"),"Pendente","OK"))</f>
        <v/>
      </c>
    </row>
    <row r="130" customFormat="false" ht="15" hidden="false" customHeight="false" outlineLevel="0" collapsed="false">
      <c r="B130" s="27"/>
      <c r="C130" s="27"/>
      <c r="D130" s="29"/>
      <c r="E130" s="29"/>
      <c r="F130" s="31" t="str">
        <f aca="false">IF(COUNTA(D130:E130)=0,"",N(E130)-N(D130))</f>
        <v/>
      </c>
      <c r="G130" s="27"/>
      <c r="H130" s="27"/>
      <c r="I130" s="30" t="str">
        <f aca="false">IF(COUNTA(B130:E130,G130:H130)=0,"",IF(OR(C130="",E130="",H130&lt;&gt;"Sim"),"Pendente","OK"))</f>
        <v/>
      </c>
    </row>
    <row r="131" customFormat="false" ht="15" hidden="false" customHeight="false" outlineLevel="0" collapsed="false">
      <c r="B131" s="27"/>
      <c r="C131" s="27"/>
      <c r="D131" s="29"/>
      <c r="E131" s="29"/>
      <c r="F131" s="31" t="str">
        <f aca="false">IF(COUNTA(D131:E131)=0,"",N(E131)-N(D131))</f>
        <v/>
      </c>
      <c r="G131" s="27"/>
      <c r="H131" s="27"/>
      <c r="I131" s="30" t="str">
        <f aca="false">IF(COUNTA(B131:E131,G131:H131)=0,"",IF(OR(C131="",E131="",H131&lt;&gt;"Sim"),"Pendente","OK"))</f>
        <v/>
      </c>
    </row>
    <row r="132" customFormat="false" ht="15" hidden="false" customHeight="false" outlineLevel="0" collapsed="false">
      <c r="B132" s="27"/>
      <c r="C132" s="27"/>
      <c r="D132" s="29"/>
      <c r="E132" s="29"/>
      <c r="F132" s="31" t="str">
        <f aca="false">IF(COUNTA(D132:E132)=0,"",N(E132)-N(D132))</f>
        <v/>
      </c>
      <c r="G132" s="27"/>
      <c r="H132" s="27"/>
      <c r="I132" s="30" t="str">
        <f aca="false">IF(COUNTA(B132:E132,G132:H132)=0,"",IF(OR(C132="",E132="",H132&lt;&gt;"Sim"),"Pendente","OK"))</f>
        <v/>
      </c>
    </row>
    <row r="133" customFormat="false" ht="15" hidden="false" customHeight="false" outlineLevel="0" collapsed="false">
      <c r="B133" s="27"/>
      <c r="C133" s="27"/>
      <c r="D133" s="29"/>
      <c r="E133" s="29"/>
      <c r="F133" s="31" t="str">
        <f aca="false">IF(COUNTA(D133:E133)=0,"",N(E133)-N(D133))</f>
        <v/>
      </c>
      <c r="G133" s="27"/>
      <c r="H133" s="27"/>
      <c r="I133" s="30" t="str">
        <f aca="false">IF(COUNTA(B133:E133,G133:H133)=0,"",IF(OR(C133="",E133="",H133&lt;&gt;"Sim"),"Pendente","OK"))</f>
        <v/>
      </c>
    </row>
    <row r="134" customFormat="false" ht="15" hidden="false" customHeight="false" outlineLevel="0" collapsed="false">
      <c r="B134" s="27"/>
      <c r="C134" s="27"/>
      <c r="D134" s="29"/>
      <c r="E134" s="29"/>
      <c r="F134" s="31" t="str">
        <f aca="false">IF(COUNTA(D134:E134)=0,"",N(E134)-N(D134))</f>
        <v/>
      </c>
      <c r="G134" s="27"/>
      <c r="H134" s="27"/>
      <c r="I134" s="30" t="str">
        <f aca="false">IF(COUNTA(B134:E134,G134:H134)=0,"",IF(OR(C134="",E134="",H134&lt;&gt;"Sim"),"Pendente","OK"))</f>
        <v/>
      </c>
    </row>
    <row r="135" customFormat="false" ht="15" hidden="false" customHeight="false" outlineLevel="0" collapsed="false">
      <c r="B135" s="27"/>
      <c r="C135" s="27"/>
      <c r="D135" s="29"/>
      <c r="E135" s="29"/>
      <c r="F135" s="31" t="str">
        <f aca="false">IF(COUNTA(D135:E135)=0,"",N(E135)-N(D135))</f>
        <v/>
      </c>
      <c r="G135" s="27"/>
      <c r="H135" s="27"/>
      <c r="I135" s="30" t="str">
        <f aca="false">IF(COUNTA(B135:E135,G135:H135)=0,"",IF(OR(C135="",E135="",H135&lt;&gt;"Sim"),"Pendente","OK"))</f>
        <v/>
      </c>
    </row>
    <row r="136" customFormat="false" ht="15" hidden="false" customHeight="false" outlineLevel="0" collapsed="false">
      <c r="B136" s="27"/>
      <c r="C136" s="27"/>
      <c r="D136" s="29"/>
      <c r="E136" s="29"/>
      <c r="F136" s="31" t="str">
        <f aca="false">IF(COUNTA(D136:E136)=0,"",N(E136)-N(D136))</f>
        <v/>
      </c>
      <c r="G136" s="27"/>
      <c r="H136" s="27"/>
      <c r="I136" s="30" t="str">
        <f aca="false">IF(COUNTA(B136:E136,G136:H136)=0,"",IF(OR(C136="",E136="",H136&lt;&gt;"Sim"),"Pendente","OK"))</f>
        <v/>
      </c>
    </row>
    <row r="137" customFormat="false" ht="15" hidden="false" customHeight="false" outlineLevel="0" collapsed="false">
      <c r="B137" s="27"/>
      <c r="C137" s="27"/>
      <c r="D137" s="29"/>
      <c r="E137" s="29"/>
      <c r="F137" s="31" t="str">
        <f aca="false">IF(COUNTA(D137:E137)=0,"",N(E137)-N(D137))</f>
        <v/>
      </c>
      <c r="G137" s="27"/>
      <c r="H137" s="27"/>
      <c r="I137" s="30" t="str">
        <f aca="false">IF(COUNTA(B137:E137,G137:H137)=0,"",IF(OR(C137="",E137="",H137&lt;&gt;"Sim"),"Pendente","OK"))</f>
        <v/>
      </c>
    </row>
    <row r="138" customFormat="false" ht="15" hidden="false" customHeight="false" outlineLevel="0" collapsed="false">
      <c r="B138" s="27"/>
      <c r="C138" s="27"/>
      <c r="D138" s="29"/>
      <c r="E138" s="29"/>
      <c r="F138" s="31" t="str">
        <f aca="false">IF(COUNTA(D138:E138)=0,"",N(E138)-N(D138))</f>
        <v/>
      </c>
      <c r="G138" s="27"/>
      <c r="H138" s="27"/>
      <c r="I138" s="30" t="str">
        <f aca="false">IF(COUNTA(B138:E138,G138:H138)=0,"",IF(OR(C138="",E138="",H138&lt;&gt;"Sim"),"Pendente","OK"))</f>
        <v/>
      </c>
    </row>
    <row r="139" customFormat="false" ht="15" hidden="false" customHeight="false" outlineLevel="0" collapsed="false">
      <c r="B139" s="27"/>
      <c r="C139" s="27"/>
      <c r="D139" s="29"/>
      <c r="E139" s="29"/>
      <c r="F139" s="31" t="str">
        <f aca="false">IF(COUNTA(D139:E139)=0,"",N(E139)-N(D139))</f>
        <v/>
      </c>
      <c r="G139" s="27"/>
      <c r="H139" s="27"/>
      <c r="I139" s="30" t="str">
        <f aca="false">IF(COUNTA(B139:E139,G139:H139)=0,"",IF(OR(C139="",E139="",H139&lt;&gt;"Sim"),"Pendente","OK"))</f>
        <v/>
      </c>
    </row>
    <row r="140" customFormat="false" ht="15" hidden="false" customHeight="false" outlineLevel="0" collapsed="false">
      <c r="B140" s="27"/>
      <c r="C140" s="27"/>
      <c r="D140" s="29"/>
      <c r="E140" s="29"/>
      <c r="F140" s="31" t="str">
        <f aca="false">IF(COUNTA(D140:E140)=0,"",N(E140)-N(D140))</f>
        <v/>
      </c>
      <c r="G140" s="27"/>
      <c r="H140" s="27"/>
      <c r="I140" s="30" t="str">
        <f aca="false">IF(COUNTA(B140:E140,G140:H140)=0,"",IF(OR(C140="",E140="",H140&lt;&gt;"Sim"),"Pendente","OK"))</f>
        <v/>
      </c>
    </row>
    <row r="141" customFormat="false" ht="15" hidden="false" customHeight="false" outlineLevel="0" collapsed="false">
      <c r="B141" s="27"/>
      <c r="C141" s="27"/>
      <c r="D141" s="29"/>
      <c r="E141" s="29"/>
      <c r="F141" s="31" t="str">
        <f aca="false">IF(COUNTA(D141:E141)=0,"",N(E141)-N(D141))</f>
        <v/>
      </c>
      <c r="G141" s="27"/>
      <c r="H141" s="27"/>
      <c r="I141" s="30" t="str">
        <f aca="false">IF(COUNTA(B141:E141,G141:H141)=0,"",IF(OR(C141="",E141="",H141&lt;&gt;"Sim"),"Pendente","OK"))</f>
        <v/>
      </c>
    </row>
    <row r="142" customFormat="false" ht="15" hidden="false" customHeight="false" outlineLevel="0" collapsed="false">
      <c r="B142" s="27"/>
      <c r="C142" s="27"/>
      <c r="D142" s="29"/>
      <c r="E142" s="29"/>
      <c r="F142" s="31" t="str">
        <f aca="false">IF(COUNTA(D142:E142)=0,"",N(E142)-N(D142))</f>
        <v/>
      </c>
      <c r="G142" s="27"/>
      <c r="H142" s="27"/>
      <c r="I142" s="30" t="str">
        <f aca="false">IF(COUNTA(B142:E142,G142:H142)=0,"",IF(OR(C142="",E142="",H142&lt;&gt;"Sim"),"Pendente","OK"))</f>
        <v/>
      </c>
    </row>
    <row r="143" customFormat="false" ht="15" hidden="false" customHeight="false" outlineLevel="0" collapsed="false">
      <c r="B143" s="27"/>
      <c r="C143" s="27"/>
      <c r="D143" s="29"/>
      <c r="E143" s="29"/>
      <c r="F143" s="31" t="str">
        <f aca="false">IF(COUNTA(D143:E143)=0,"",N(E143)-N(D143))</f>
        <v/>
      </c>
      <c r="G143" s="27"/>
      <c r="H143" s="27"/>
      <c r="I143" s="30" t="str">
        <f aca="false">IF(COUNTA(B143:E143,G143:H143)=0,"",IF(OR(C143="",E143="",H143&lt;&gt;"Sim"),"Pendente","OK"))</f>
        <v/>
      </c>
    </row>
    <row r="144" customFormat="false" ht="15" hidden="false" customHeight="false" outlineLevel="0" collapsed="false">
      <c r="B144" s="27"/>
      <c r="C144" s="27"/>
      <c r="D144" s="29"/>
      <c r="E144" s="29"/>
      <c r="F144" s="31" t="str">
        <f aca="false">IF(COUNTA(D144:E144)=0,"",N(E144)-N(D144))</f>
        <v/>
      </c>
      <c r="G144" s="27"/>
      <c r="H144" s="27"/>
      <c r="I144" s="30" t="str">
        <f aca="false">IF(COUNTA(B144:E144,G144:H144)=0,"",IF(OR(C144="",E144="",H144&lt;&gt;"Sim"),"Pendente","OK"))</f>
        <v/>
      </c>
    </row>
    <row r="145" customFormat="false" ht="15" hidden="false" customHeight="false" outlineLevel="0" collapsed="false">
      <c r="B145" s="27"/>
      <c r="C145" s="27"/>
      <c r="D145" s="29"/>
      <c r="E145" s="29"/>
      <c r="F145" s="31" t="str">
        <f aca="false">IF(COUNTA(D145:E145)=0,"",N(E145)-N(D145))</f>
        <v/>
      </c>
      <c r="G145" s="27"/>
      <c r="H145" s="27"/>
      <c r="I145" s="30" t="str">
        <f aca="false">IF(COUNTA(B145:E145,G145:H145)=0,"",IF(OR(C145="",E145="",H145&lt;&gt;"Sim"),"Pendente","OK"))</f>
        <v/>
      </c>
    </row>
    <row r="146" customFormat="false" ht="15" hidden="false" customHeight="false" outlineLevel="0" collapsed="false">
      <c r="B146" s="27"/>
      <c r="C146" s="27"/>
      <c r="D146" s="29"/>
      <c r="E146" s="29"/>
      <c r="F146" s="31" t="str">
        <f aca="false">IF(COUNTA(D146:E146)=0,"",N(E146)-N(D146))</f>
        <v/>
      </c>
      <c r="G146" s="27"/>
      <c r="H146" s="27"/>
      <c r="I146" s="30" t="str">
        <f aca="false">IF(COUNTA(B146:E146,G146:H146)=0,"",IF(OR(C146="",E146="",H146&lt;&gt;"Sim"),"Pendente","OK"))</f>
        <v/>
      </c>
    </row>
    <row r="147" customFormat="false" ht="15" hidden="false" customHeight="false" outlineLevel="0" collapsed="false">
      <c r="B147" s="27"/>
      <c r="C147" s="27"/>
      <c r="D147" s="29"/>
      <c r="E147" s="29"/>
      <c r="F147" s="31" t="str">
        <f aca="false">IF(COUNTA(D147:E147)=0,"",N(E147)-N(D147))</f>
        <v/>
      </c>
      <c r="G147" s="27"/>
      <c r="H147" s="27"/>
      <c r="I147" s="30" t="str">
        <f aca="false">IF(COUNTA(B147:E147,G147:H147)=0,"",IF(OR(C147="",E147="",H147&lt;&gt;"Sim"),"Pendente","OK"))</f>
        <v/>
      </c>
    </row>
    <row r="148" customFormat="false" ht="15" hidden="false" customHeight="false" outlineLevel="0" collapsed="false">
      <c r="B148" s="27"/>
      <c r="C148" s="27"/>
      <c r="D148" s="29"/>
      <c r="E148" s="29"/>
      <c r="F148" s="31" t="str">
        <f aca="false">IF(COUNTA(D148:E148)=0,"",N(E148)-N(D148))</f>
        <v/>
      </c>
      <c r="G148" s="27"/>
      <c r="H148" s="27"/>
      <c r="I148" s="30" t="str">
        <f aca="false">IF(COUNTA(B148:E148,G148:H148)=0,"",IF(OR(C148="",E148="",H148&lt;&gt;"Sim"),"Pendente","OK"))</f>
        <v/>
      </c>
    </row>
    <row r="149" customFormat="false" ht="15" hidden="false" customHeight="false" outlineLevel="0" collapsed="false">
      <c r="B149" s="27"/>
      <c r="C149" s="27"/>
      <c r="D149" s="29"/>
      <c r="E149" s="29"/>
      <c r="F149" s="31" t="str">
        <f aca="false">IF(COUNTA(D149:E149)=0,"",N(E149)-N(D149))</f>
        <v/>
      </c>
      <c r="G149" s="27"/>
      <c r="H149" s="27"/>
      <c r="I149" s="30" t="str">
        <f aca="false">IF(COUNTA(B149:E149,G149:H149)=0,"",IF(OR(C149="",E149="",H149&lt;&gt;"Sim"),"Pendente","OK"))</f>
        <v/>
      </c>
    </row>
    <row r="150" customFormat="false" ht="15" hidden="false" customHeight="false" outlineLevel="0" collapsed="false">
      <c r="B150" s="27"/>
      <c r="C150" s="27"/>
      <c r="D150" s="29"/>
      <c r="E150" s="29"/>
      <c r="F150" s="31" t="str">
        <f aca="false">IF(COUNTA(D150:E150)=0,"",N(E150)-N(D150))</f>
        <v/>
      </c>
      <c r="G150" s="27"/>
      <c r="H150" s="27"/>
      <c r="I150" s="30" t="str">
        <f aca="false">IF(COUNTA(B150:E150,G150:H150)=0,"",IF(OR(C150="",E150="",H150&lt;&gt;"Sim"),"Pendente","OK"))</f>
        <v/>
      </c>
    </row>
    <row r="151" customFormat="false" ht="15" hidden="false" customHeight="false" outlineLevel="0" collapsed="false">
      <c r="B151" s="27"/>
      <c r="C151" s="27"/>
      <c r="D151" s="29"/>
      <c r="E151" s="29"/>
      <c r="F151" s="31" t="str">
        <f aca="false">IF(COUNTA(D151:E151)=0,"",N(E151)-N(D151))</f>
        <v/>
      </c>
      <c r="G151" s="27"/>
      <c r="H151" s="27"/>
      <c r="I151" s="30" t="str">
        <f aca="false">IF(COUNTA(B151:E151,G151:H151)=0,"",IF(OR(C151="",E151="",H151&lt;&gt;"Sim"),"Pendente","OK"))</f>
        <v/>
      </c>
    </row>
    <row r="152" customFormat="false" ht="15" hidden="false" customHeight="false" outlineLevel="0" collapsed="false">
      <c r="B152" s="27"/>
      <c r="C152" s="27"/>
      <c r="D152" s="29"/>
      <c r="E152" s="29"/>
      <c r="F152" s="31" t="str">
        <f aca="false">IF(COUNTA(D152:E152)=0,"",N(E152)-N(D152))</f>
        <v/>
      </c>
      <c r="G152" s="27"/>
      <c r="H152" s="27"/>
      <c r="I152" s="30" t="str">
        <f aca="false">IF(COUNTA(B152:E152,G152:H152)=0,"",IF(OR(C152="",E152="",H152&lt;&gt;"Sim"),"Pendente","OK"))</f>
        <v/>
      </c>
    </row>
    <row r="153" customFormat="false" ht="15" hidden="false" customHeight="false" outlineLevel="0" collapsed="false">
      <c r="B153" s="27"/>
      <c r="C153" s="27"/>
      <c r="D153" s="29"/>
      <c r="E153" s="29"/>
      <c r="F153" s="31" t="str">
        <f aca="false">IF(COUNTA(D153:E153)=0,"",N(E153)-N(D153))</f>
        <v/>
      </c>
      <c r="G153" s="27"/>
      <c r="H153" s="27"/>
      <c r="I153" s="30" t="str">
        <f aca="false">IF(COUNTA(B153:E153,G153:H153)=0,"",IF(OR(C153="",E153="",H153&lt;&gt;"Sim"),"Pendente","OK"))</f>
        <v/>
      </c>
    </row>
    <row r="154" customFormat="false" ht="15" hidden="false" customHeight="false" outlineLevel="0" collapsed="false">
      <c r="B154" s="27"/>
      <c r="C154" s="27"/>
      <c r="D154" s="29"/>
      <c r="E154" s="29"/>
      <c r="F154" s="31" t="str">
        <f aca="false">IF(COUNTA(D154:E154)=0,"",N(E154)-N(D154))</f>
        <v/>
      </c>
      <c r="G154" s="27"/>
      <c r="H154" s="27"/>
      <c r="I154" s="30" t="str">
        <f aca="false">IF(COUNTA(B154:E154,G154:H154)=0,"",IF(OR(C154="",E154="",H154&lt;&gt;"Sim"),"Pendente","OK"))</f>
        <v/>
      </c>
    </row>
    <row r="155" customFormat="false" ht="15" hidden="false" customHeight="false" outlineLevel="0" collapsed="false">
      <c r="B155" s="27"/>
      <c r="C155" s="27"/>
      <c r="D155" s="29"/>
      <c r="E155" s="29"/>
      <c r="F155" s="31" t="str">
        <f aca="false">IF(COUNTA(D155:E155)=0,"",N(E155)-N(D155))</f>
        <v/>
      </c>
      <c r="G155" s="27"/>
      <c r="H155" s="27"/>
      <c r="I155" s="30" t="str">
        <f aca="false">IF(COUNTA(B155:E155,G155:H155)=0,"",IF(OR(C155="",E155="",H155&lt;&gt;"Sim"),"Pendente","OK"))</f>
        <v/>
      </c>
    </row>
    <row r="156" customFormat="false" ht="15" hidden="false" customHeight="false" outlineLevel="0" collapsed="false">
      <c r="B156" s="27"/>
      <c r="C156" s="27"/>
      <c r="D156" s="29"/>
      <c r="E156" s="29"/>
      <c r="F156" s="31" t="str">
        <f aca="false">IF(COUNTA(D156:E156)=0,"",N(E156)-N(D156))</f>
        <v/>
      </c>
      <c r="G156" s="27"/>
      <c r="H156" s="27"/>
      <c r="I156" s="30" t="str">
        <f aca="false">IF(COUNTA(B156:E156,G156:H156)=0,"",IF(OR(C156="",E156="",H156&lt;&gt;"Sim"),"Pendente","OK"))</f>
        <v/>
      </c>
    </row>
    <row r="157" customFormat="false" ht="15" hidden="false" customHeight="false" outlineLevel="0" collapsed="false">
      <c r="B157" s="27"/>
      <c r="C157" s="27"/>
      <c r="D157" s="29"/>
      <c r="E157" s="29"/>
      <c r="F157" s="31" t="str">
        <f aca="false">IF(COUNTA(D157:E157)=0,"",N(E157)-N(D157))</f>
        <v/>
      </c>
      <c r="G157" s="27"/>
      <c r="H157" s="27"/>
      <c r="I157" s="30" t="str">
        <f aca="false">IF(COUNTA(B157:E157,G157:H157)=0,"",IF(OR(C157="",E157="",H157&lt;&gt;"Sim"),"Pendente","OK"))</f>
        <v/>
      </c>
    </row>
    <row r="158" customFormat="false" ht="15" hidden="false" customHeight="false" outlineLevel="0" collapsed="false">
      <c r="B158" s="27"/>
      <c r="C158" s="27"/>
      <c r="D158" s="29"/>
      <c r="E158" s="29"/>
      <c r="F158" s="31" t="str">
        <f aca="false">IF(COUNTA(D158:E158)=0,"",N(E158)-N(D158))</f>
        <v/>
      </c>
      <c r="G158" s="27"/>
      <c r="H158" s="27"/>
      <c r="I158" s="30" t="str">
        <f aca="false">IF(COUNTA(B158:E158,G158:H158)=0,"",IF(OR(C158="",E158="",H158&lt;&gt;"Sim"),"Pendente","OK"))</f>
        <v/>
      </c>
    </row>
    <row r="159" customFormat="false" ht="15" hidden="false" customHeight="false" outlineLevel="0" collapsed="false">
      <c r="B159" s="27"/>
      <c r="C159" s="27"/>
      <c r="D159" s="29"/>
      <c r="E159" s="29"/>
      <c r="F159" s="31" t="str">
        <f aca="false">IF(COUNTA(D159:E159)=0,"",N(E159)-N(D159))</f>
        <v/>
      </c>
      <c r="G159" s="27"/>
      <c r="H159" s="27"/>
      <c r="I159" s="30" t="str">
        <f aca="false">IF(COUNTA(B159:E159,G159:H159)=0,"",IF(OR(C159="",E159="",H159&lt;&gt;"Sim"),"Pendente","OK"))</f>
        <v/>
      </c>
    </row>
    <row r="160" customFormat="false" ht="15" hidden="false" customHeight="false" outlineLevel="0" collapsed="false">
      <c r="B160" s="27"/>
      <c r="C160" s="27"/>
      <c r="D160" s="29"/>
      <c r="E160" s="29"/>
      <c r="F160" s="31" t="str">
        <f aca="false">IF(COUNTA(D160:E160)=0,"",N(E160)-N(D160))</f>
        <v/>
      </c>
      <c r="G160" s="27"/>
      <c r="H160" s="27"/>
      <c r="I160" s="30" t="str">
        <f aca="false">IF(COUNTA(B160:E160,G160:H160)=0,"",IF(OR(C160="",E160="",H160&lt;&gt;"Sim"),"Pendente","OK"))</f>
        <v/>
      </c>
    </row>
    <row r="161" customFormat="false" ht="15" hidden="false" customHeight="false" outlineLevel="0" collapsed="false">
      <c r="B161" s="27"/>
      <c r="C161" s="27"/>
      <c r="D161" s="29"/>
      <c r="E161" s="29"/>
      <c r="F161" s="31" t="str">
        <f aca="false">IF(COUNTA(D161:E161)=0,"",N(E161)-N(D161))</f>
        <v/>
      </c>
      <c r="G161" s="27"/>
      <c r="H161" s="27"/>
      <c r="I161" s="30" t="str">
        <f aca="false">IF(COUNTA(B161:E161,G161:H161)=0,"",IF(OR(C161="",E161="",H161&lt;&gt;"Sim"),"Pendente","OK"))</f>
        <v/>
      </c>
    </row>
    <row r="162" customFormat="false" ht="15" hidden="false" customHeight="false" outlineLevel="0" collapsed="false">
      <c r="B162" s="27"/>
      <c r="C162" s="27"/>
      <c r="D162" s="29"/>
      <c r="E162" s="29"/>
      <c r="F162" s="31" t="str">
        <f aca="false">IF(COUNTA(D162:E162)=0,"",N(E162)-N(D162))</f>
        <v/>
      </c>
      <c r="G162" s="27"/>
      <c r="H162" s="27"/>
      <c r="I162" s="30" t="str">
        <f aca="false">IF(COUNTA(B162:E162,G162:H162)=0,"",IF(OR(C162="",E162="",H162&lt;&gt;"Sim"),"Pendente","OK"))</f>
        <v/>
      </c>
    </row>
    <row r="163" customFormat="false" ht="15" hidden="false" customHeight="false" outlineLevel="0" collapsed="false">
      <c r="B163" s="27"/>
      <c r="C163" s="27"/>
      <c r="D163" s="29"/>
      <c r="E163" s="29"/>
      <c r="F163" s="31" t="str">
        <f aca="false">IF(COUNTA(D163:E163)=0,"",N(E163)-N(D163))</f>
        <v/>
      </c>
      <c r="G163" s="27"/>
      <c r="H163" s="27"/>
      <c r="I163" s="30" t="str">
        <f aca="false">IF(COUNTA(B163:E163,G163:H163)=0,"",IF(OR(C163="",E163="",H163&lt;&gt;"Sim"),"Pendente","OK"))</f>
        <v/>
      </c>
    </row>
    <row r="164" customFormat="false" ht="15" hidden="false" customHeight="false" outlineLevel="0" collapsed="false">
      <c r="B164" s="27"/>
      <c r="C164" s="27"/>
      <c r="D164" s="29"/>
      <c r="E164" s="29"/>
      <c r="F164" s="31" t="str">
        <f aca="false">IF(COUNTA(D164:E164)=0,"",N(E164)-N(D164))</f>
        <v/>
      </c>
      <c r="G164" s="27"/>
      <c r="H164" s="27"/>
      <c r="I164" s="30" t="str">
        <f aca="false">IF(COUNTA(B164:E164,G164:H164)=0,"",IF(OR(C164="",E164="",H164&lt;&gt;"Sim"),"Pendente","OK"))</f>
        <v/>
      </c>
    </row>
    <row r="165" customFormat="false" ht="15" hidden="false" customHeight="false" outlineLevel="0" collapsed="false">
      <c r="B165" s="27"/>
      <c r="C165" s="27"/>
      <c r="D165" s="29"/>
      <c r="E165" s="29"/>
      <c r="F165" s="31" t="str">
        <f aca="false">IF(COUNTA(D165:E165)=0,"",N(E165)-N(D165))</f>
        <v/>
      </c>
      <c r="G165" s="27"/>
      <c r="H165" s="27"/>
      <c r="I165" s="30" t="str">
        <f aca="false">IF(COUNTA(B165:E165,G165:H165)=0,"",IF(OR(C165="",E165="",H165&lt;&gt;"Sim"),"Pendente","OK"))</f>
        <v/>
      </c>
    </row>
    <row r="166" customFormat="false" ht="15" hidden="false" customHeight="false" outlineLevel="0" collapsed="false">
      <c r="B166" s="27"/>
      <c r="C166" s="27"/>
      <c r="D166" s="29"/>
      <c r="E166" s="29"/>
      <c r="F166" s="31" t="str">
        <f aca="false">IF(COUNTA(D166:E166)=0,"",N(E166)-N(D166))</f>
        <v/>
      </c>
      <c r="G166" s="27"/>
      <c r="H166" s="27"/>
      <c r="I166" s="30" t="str">
        <f aca="false">IF(COUNTA(B166:E166,G166:H166)=0,"",IF(OR(C166="",E166="",H166&lt;&gt;"Sim"),"Pendente","OK"))</f>
        <v/>
      </c>
    </row>
    <row r="167" customFormat="false" ht="15" hidden="false" customHeight="false" outlineLevel="0" collapsed="false">
      <c r="B167" s="27"/>
      <c r="C167" s="27"/>
      <c r="D167" s="29"/>
      <c r="E167" s="29"/>
      <c r="F167" s="31" t="str">
        <f aca="false">IF(COUNTA(D167:E167)=0,"",N(E167)-N(D167))</f>
        <v/>
      </c>
      <c r="G167" s="27"/>
      <c r="H167" s="27"/>
      <c r="I167" s="30" t="str">
        <f aca="false">IF(COUNTA(B167:E167,G167:H167)=0,"",IF(OR(C167="",E167="",H167&lt;&gt;"Sim"),"Pendente","OK"))</f>
        <v/>
      </c>
    </row>
    <row r="168" customFormat="false" ht="15" hidden="false" customHeight="false" outlineLevel="0" collapsed="false">
      <c r="B168" s="27"/>
      <c r="C168" s="27"/>
      <c r="D168" s="29"/>
      <c r="E168" s="29"/>
      <c r="F168" s="31" t="str">
        <f aca="false">IF(COUNTA(D168:E168)=0,"",N(E168)-N(D168))</f>
        <v/>
      </c>
      <c r="G168" s="27"/>
      <c r="H168" s="27"/>
      <c r="I168" s="30" t="str">
        <f aca="false">IF(COUNTA(B168:E168,G168:H168)=0,"",IF(OR(C168="",E168="",H168&lt;&gt;"Sim"),"Pendente","OK"))</f>
        <v/>
      </c>
    </row>
    <row r="169" customFormat="false" ht="15" hidden="false" customHeight="false" outlineLevel="0" collapsed="false">
      <c r="B169" s="27"/>
      <c r="C169" s="27"/>
      <c r="D169" s="29"/>
      <c r="E169" s="29"/>
      <c r="F169" s="31" t="str">
        <f aca="false">IF(COUNTA(D169:E169)=0,"",N(E169)-N(D169))</f>
        <v/>
      </c>
      <c r="G169" s="27"/>
      <c r="H169" s="27"/>
      <c r="I169" s="30" t="str">
        <f aca="false">IF(COUNTA(B169:E169,G169:H169)=0,"",IF(OR(C169="",E169="",H169&lt;&gt;"Sim"),"Pendente","OK"))</f>
        <v/>
      </c>
    </row>
    <row r="170" customFormat="false" ht="15" hidden="false" customHeight="false" outlineLevel="0" collapsed="false">
      <c r="B170" s="27"/>
      <c r="C170" s="27"/>
      <c r="D170" s="29"/>
      <c r="E170" s="29"/>
      <c r="F170" s="31" t="str">
        <f aca="false">IF(COUNTA(D170:E170)=0,"",N(E170)-N(D170))</f>
        <v/>
      </c>
      <c r="G170" s="27"/>
      <c r="H170" s="27"/>
      <c r="I170" s="30" t="str">
        <f aca="false">IF(COUNTA(B170:E170,G170:H170)=0,"",IF(OR(C170="",E170="",H170&lt;&gt;"Sim"),"Pendente","OK"))</f>
        <v/>
      </c>
    </row>
    <row r="171" customFormat="false" ht="15" hidden="false" customHeight="false" outlineLevel="0" collapsed="false">
      <c r="B171" s="27"/>
      <c r="C171" s="27"/>
      <c r="D171" s="29"/>
      <c r="E171" s="29"/>
      <c r="F171" s="31" t="str">
        <f aca="false">IF(COUNTA(D171:E171)=0,"",N(E171)-N(D171))</f>
        <v/>
      </c>
      <c r="G171" s="27"/>
      <c r="H171" s="27"/>
      <c r="I171" s="30" t="str">
        <f aca="false">IF(COUNTA(B171:E171,G171:H171)=0,"",IF(OR(C171="",E171="",H171&lt;&gt;"Sim"),"Pendente","OK"))</f>
        <v/>
      </c>
    </row>
    <row r="172" customFormat="false" ht="15" hidden="false" customHeight="false" outlineLevel="0" collapsed="false">
      <c r="B172" s="27"/>
      <c r="C172" s="27"/>
      <c r="D172" s="29"/>
      <c r="E172" s="29"/>
      <c r="F172" s="31" t="str">
        <f aca="false">IF(COUNTA(D172:E172)=0,"",N(E172)-N(D172))</f>
        <v/>
      </c>
      <c r="G172" s="27"/>
      <c r="H172" s="27"/>
      <c r="I172" s="30" t="str">
        <f aca="false">IF(COUNTA(B172:E172,G172:H172)=0,"",IF(OR(C172="",E172="",H172&lt;&gt;"Sim"),"Pendente","OK"))</f>
        <v/>
      </c>
    </row>
    <row r="173" customFormat="false" ht="15" hidden="false" customHeight="false" outlineLevel="0" collapsed="false">
      <c r="B173" s="27"/>
      <c r="C173" s="27"/>
      <c r="D173" s="29"/>
      <c r="E173" s="29"/>
      <c r="F173" s="31" t="str">
        <f aca="false">IF(COUNTA(D173:E173)=0,"",N(E173)-N(D173))</f>
        <v/>
      </c>
      <c r="G173" s="27"/>
      <c r="H173" s="27"/>
      <c r="I173" s="30" t="str">
        <f aca="false">IF(COUNTA(B173:E173,G173:H173)=0,"",IF(OR(C173="",E173="",H173&lt;&gt;"Sim"),"Pendente","OK"))</f>
        <v/>
      </c>
    </row>
    <row r="174" customFormat="false" ht="15" hidden="false" customHeight="false" outlineLevel="0" collapsed="false">
      <c r="B174" s="27"/>
      <c r="C174" s="27"/>
      <c r="D174" s="29"/>
      <c r="E174" s="29"/>
      <c r="F174" s="31" t="str">
        <f aca="false">IF(COUNTA(D174:E174)=0,"",N(E174)-N(D174))</f>
        <v/>
      </c>
      <c r="G174" s="27"/>
      <c r="H174" s="27"/>
      <c r="I174" s="30" t="str">
        <f aca="false">IF(COUNTA(B174:E174,G174:H174)=0,"",IF(OR(C174="",E174="",H174&lt;&gt;"Sim"),"Pendente","OK"))</f>
        <v/>
      </c>
    </row>
    <row r="175" customFormat="false" ht="15" hidden="false" customHeight="false" outlineLevel="0" collapsed="false">
      <c r="B175" s="27"/>
      <c r="C175" s="27"/>
      <c r="D175" s="29"/>
      <c r="E175" s="29"/>
      <c r="F175" s="31" t="str">
        <f aca="false">IF(COUNTA(D175:E175)=0,"",N(E175)-N(D175))</f>
        <v/>
      </c>
      <c r="G175" s="27"/>
      <c r="H175" s="27"/>
      <c r="I175" s="30" t="str">
        <f aca="false">IF(COUNTA(B175:E175,G175:H175)=0,"",IF(OR(C175="",E175="",H175&lt;&gt;"Sim"),"Pendente","OK"))</f>
        <v/>
      </c>
    </row>
    <row r="176" customFormat="false" ht="15" hidden="false" customHeight="false" outlineLevel="0" collapsed="false">
      <c r="B176" s="27"/>
      <c r="C176" s="27"/>
      <c r="D176" s="29"/>
      <c r="E176" s="29"/>
      <c r="F176" s="31" t="str">
        <f aca="false">IF(COUNTA(D176:E176)=0,"",N(E176)-N(D176))</f>
        <v/>
      </c>
      <c r="G176" s="27"/>
      <c r="H176" s="27"/>
      <c r="I176" s="30" t="str">
        <f aca="false">IF(COUNTA(B176:E176,G176:H176)=0,"",IF(OR(C176="",E176="",H176&lt;&gt;"Sim"),"Pendente","OK"))</f>
        <v/>
      </c>
    </row>
    <row r="177" customFormat="false" ht="15" hidden="false" customHeight="false" outlineLevel="0" collapsed="false">
      <c r="B177" s="27"/>
      <c r="C177" s="27"/>
      <c r="D177" s="29"/>
      <c r="E177" s="29"/>
      <c r="F177" s="31" t="str">
        <f aca="false">IF(COUNTA(D177:E177)=0,"",N(E177)-N(D177))</f>
        <v/>
      </c>
      <c r="G177" s="27"/>
      <c r="H177" s="27"/>
      <c r="I177" s="30" t="str">
        <f aca="false">IF(COUNTA(B177:E177,G177:H177)=0,"",IF(OR(C177="",E177="",H177&lt;&gt;"Sim"),"Pendente","OK"))</f>
        <v/>
      </c>
    </row>
    <row r="178" customFormat="false" ht="15" hidden="false" customHeight="false" outlineLevel="0" collapsed="false">
      <c r="B178" s="27"/>
      <c r="C178" s="27"/>
      <c r="D178" s="29"/>
      <c r="E178" s="29"/>
      <c r="F178" s="31" t="str">
        <f aca="false">IF(COUNTA(D178:E178)=0,"",N(E178)-N(D178))</f>
        <v/>
      </c>
      <c r="G178" s="27"/>
      <c r="H178" s="27"/>
      <c r="I178" s="30" t="str">
        <f aca="false">IF(COUNTA(B178:E178,G178:H178)=0,"",IF(OR(C178="",E178="",H178&lt;&gt;"Sim"),"Pendente","OK"))</f>
        <v/>
      </c>
    </row>
    <row r="179" customFormat="false" ht="15" hidden="false" customHeight="false" outlineLevel="0" collapsed="false">
      <c r="B179" s="27"/>
      <c r="C179" s="27"/>
      <c r="D179" s="29"/>
      <c r="E179" s="29"/>
      <c r="F179" s="31" t="str">
        <f aca="false">IF(COUNTA(D179:E179)=0,"",N(E179)-N(D179))</f>
        <v/>
      </c>
      <c r="G179" s="27"/>
      <c r="H179" s="27"/>
      <c r="I179" s="30" t="str">
        <f aca="false">IF(COUNTA(B179:E179,G179:H179)=0,"",IF(OR(C179="",E179="",H179&lt;&gt;"Sim"),"Pendente","OK"))</f>
        <v/>
      </c>
    </row>
    <row r="180" customFormat="false" ht="15" hidden="false" customHeight="false" outlineLevel="0" collapsed="false">
      <c r="B180" s="27"/>
      <c r="C180" s="27"/>
      <c r="D180" s="29"/>
      <c r="E180" s="29"/>
      <c r="F180" s="31" t="str">
        <f aca="false">IF(COUNTA(D180:E180)=0,"",N(E180)-N(D180))</f>
        <v/>
      </c>
      <c r="G180" s="27"/>
      <c r="H180" s="27"/>
      <c r="I180" s="30" t="str">
        <f aca="false">IF(COUNTA(B180:E180,G180:H180)=0,"",IF(OR(C180="",E180="",H180&lt;&gt;"Sim"),"Pendente","OK"))</f>
        <v/>
      </c>
    </row>
    <row r="181" customFormat="false" ht="15" hidden="false" customHeight="false" outlineLevel="0" collapsed="false">
      <c r="B181" s="27"/>
      <c r="C181" s="27"/>
      <c r="D181" s="29"/>
      <c r="E181" s="29"/>
      <c r="F181" s="31" t="str">
        <f aca="false">IF(COUNTA(D181:E181)=0,"",N(E181)-N(D181))</f>
        <v/>
      </c>
      <c r="G181" s="27"/>
      <c r="H181" s="27"/>
      <c r="I181" s="30" t="str">
        <f aca="false">IF(COUNTA(B181:E181,G181:H181)=0,"",IF(OR(C181="",E181="",H181&lt;&gt;"Sim"),"Pendente","OK"))</f>
        <v/>
      </c>
    </row>
    <row r="182" customFormat="false" ht="15" hidden="false" customHeight="false" outlineLevel="0" collapsed="false">
      <c r="B182" s="27"/>
      <c r="C182" s="27"/>
      <c r="D182" s="29"/>
      <c r="E182" s="29"/>
      <c r="F182" s="31" t="str">
        <f aca="false">IF(COUNTA(D182:E182)=0,"",N(E182)-N(D182))</f>
        <v/>
      </c>
      <c r="G182" s="27"/>
      <c r="H182" s="27"/>
      <c r="I182" s="30" t="str">
        <f aca="false">IF(COUNTA(B182:E182,G182:H182)=0,"",IF(OR(C182="",E182="",H182&lt;&gt;"Sim"),"Pendente","OK"))</f>
        <v/>
      </c>
    </row>
    <row r="183" customFormat="false" ht="15" hidden="false" customHeight="false" outlineLevel="0" collapsed="false">
      <c r="B183" s="27"/>
      <c r="C183" s="27"/>
      <c r="D183" s="29"/>
      <c r="E183" s="29"/>
      <c r="F183" s="31" t="str">
        <f aca="false">IF(COUNTA(D183:E183)=0,"",N(E183)-N(D183))</f>
        <v/>
      </c>
      <c r="G183" s="27"/>
      <c r="H183" s="27"/>
      <c r="I183" s="30" t="str">
        <f aca="false">IF(COUNTA(B183:E183,G183:H183)=0,"",IF(OR(C183="",E183="",H183&lt;&gt;"Sim"),"Pendente","OK"))</f>
        <v/>
      </c>
    </row>
    <row r="184" customFormat="false" ht="15" hidden="false" customHeight="false" outlineLevel="0" collapsed="false">
      <c r="B184" s="27"/>
      <c r="C184" s="27"/>
      <c r="D184" s="29"/>
      <c r="E184" s="29"/>
      <c r="F184" s="31" t="str">
        <f aca="false">IF(COUNTA(D184:E184)=0,"",N(E184)-N(D184))</f>
        <v/>
      </c>
      <c r="G184" s="27"/>
      <c r="H184" s="27"/>
      <c r="I184" s="30" t="str">
        <f aca="false">IF(COUNTA(B184:E184,G184:H184)=0,"",IF(OR(C184="",E184="",H184&lt;&gt;"Sim"),"Pendente","OK"))</f>
        <v/>
      </c>
    </row>
    <row r="185" customFormat="false" ht="15" hidden="false" customHeight="false" outlineLevel="0" collapsed="false">
      <c r="B185" s="27"/>
      <c r="C185" s="27"/>
      <c r="D185" s="29"/>
      <c r="E185" s="29"/>
      <c r="F185" s="31" t="str">
        <f aca="false">IF(COUNTA(D185:E185)=0,"",N(E185)-N(D185))</f>
        <v/>
      </c>
      <c r="G185" s="27"/>
      <c r="H185" s="27"/>
      <c r="I185" s="30" t="str">
        <f aca="false">IF(COUNTA(B185:E185,G185:H185)=0,"",IF(OR(C185="",E185="",H185&lt;&gt;"Sim"),"Pendente","OK"))</f>
        <v/>
      </c>
    </row>
    <row r="186" customFormat="false" ht="15" hidden="false" customHeight="false" outlineLevel="0" collapsed="false">
      <c r="B186" s="27"/>
      <c r="C186" s="27"/>
      <c r="D186" s="29"/>
      <c r="E186" s="29"/>
      <c r="F186" s="31" t="str">
        <f aca="false">IF(COUNTA(D186:E186)=0,"",N(E186)-N(D186))</f>
        <v/>
      </c>
      <c r="G186" s="27"/>
      <c r="H186" s="27"/>
      <c r="I186" s="30" t="str">
        <f aca="false">IF(COUNTA(B186:E186,G186:H186)=0,"",IF(OR(C186="",E186="",H186&lt;&gt;"Sim"),"Pendente","OK"))</f>
        <v/>
      </c>
    </row>
    <row r="187" customFormat="false" ht="15" hidden="false" customHeight="false" outlineLevel="0" collapsed="false">
      <c r="B187" s="27"/>
      <c r="C187" s="27"/>
      <c r="D187" s="29"/>
      <c r="E187" s="29"/>
      <c r="F187" s="31" t="str">
        <f aca="false">IF(COUNTA(D187:E187)=0,"",N(E187)-N(D187))</f>
        <v/>
      </c>
      <c r="G187" s="27"/>
      <c r="H187" s="27"/>
      <c r="I187" s="30" t="str">
        <f aca="false">IF(COUNTA(B187:E187,G187:H187)=0,"",IF(OR(C187="",E187="",H187&lt;&gt;"Sim"),"Pendente","OK"))</f>
        <v/>
      </c>
    </row>
    <row r="188" customFormat="false" ht="15" hidden="false" customHeight="false" outlineLevel="0" collapsed="false">
      <c r="B188" s="27"/>
      <c r="C188" s="27"/>
      <c r="D188" s="29"/>
      <c r="E188" s="29"/>
      <c r="F188" s="31" t="str">
        <f aca="false">IF(COUNTA(D188:E188)=0,"",N(E188)-N(D188))</f>
        <v/>
      </c>
      <c r="G188" s="27"/>
      <c r="H188" s="27"/>
      <c r="I188" s="30" t="str">
        <f aca="false">IF(COUNTA(B188:E188,G188:H188)=0,"",IF(OR(C188="",E188="",H188&lt;&gt;"Sim"),"Pendente","OK"))</f>
        <v/>
      </c>
    </row>
    <row r="189" customFormat="false" ht="15" hidden="false" customHeight="false" outlineLevel="0" collapsed="false">
      <c r="B189" s="27"/>
      <c r="C189" s="27"/>
      <c r="D189" s="29"/>
      <c r="E189" s="29"/>
      <c r="F189" s="31" t="str">
        <f aca="false">IF(COUNTA(D189:E189)=0,"",N(E189)-N(D189))</f>
        <v/>
      </c>
      <c r="G189" s="27"/>
      <c r="H189" s="27"/>
      <c r="I189" s="30" t="str">
        <f aca="false">IF(COUNTA(B189:E189,G189:H189)=0,"",IF(OR(C189="",E189="",H189&lt;&gt;"Sim"),"Pendente","OK"))</f>
        <v/>
      </c>
    </row>
    <row r="190" customFormat="false" ht="15" hidden="false" customHeight="false" outlineLevel="0" collapsed="false">
      <c r="B190" s="27"/>
      <c r="C190" s="27"/>
      <c r="D190" s="29"/>
      <c r="E190" s="29"/>
      <c r="F190" s="31" t="str">
        <f aca="false">IF(COUNTA(D190:E190)=0,"",N(E190)-N(D190))</f>
        <v/>
      </c>
      <c r="G190" s="27"/>
      <c r="H190" s="27"/>
      <c r="I190" s="30" t="str">
        <f aca="false">IF(COUNTA(B190:E190,G190:H190)=0,"",IF(OR(C190="",E190="",H190&lt;&gt;"Sim"),"Pendente","OK"))</f>
        <v/>
      </c>
    </row>
    <row r="191" customFormat="false" ht="15" hidden="false" customHeight="false" outlineLevel="0" collapsed="false">
      <c r="B191" s="27"/>
      <c r="C191" s="27"/>
      <c r="D191" s="29"/>
      <c r="E191" s="29"/>
      <c r="F191" s="31" t="str">
        <f aca="false">IF(COUNTA(D191:E191)=0,"",N(E191)-N(D191))</f>
        <v/>
      </c>
      <c r="G191" s="27"/>
      <c r="H191" s="27"/>
      <c r="I191" s="30" t="str">
        <f aca="false">IF(COUNTA(B191:E191,G191:H191)=0,"",IF(OR(C191="",E191="",H191&lt;&gt;"Sim"),"Pendente","OK"))</f>
        <v/>
      </c>
    </row>
    <row r="192" customFormat="false" ht="15" hidden="false" customHeight="false" outlineLevel="0" collapsed="false">
      <c r="B192" s="27"/>
      <c r="C192" s="27"/>
      <c r="D192" s="29"/>
      <c r="E192" s="29"/>
      <c r="F192" s="31" t="str">
        <f aca="false">IF(COUNTA(D192:E192)=0,"",N(E192)-N(D192))</f>
        <v/>
      </c>
      <c r="G192" s="27"/>
      <c r="H192" s="27"/>
      <c r="I192" s="30" t="str">
        <f aca="false">IF(COUNTA(B192:E192,G192:H192)=0,"",IF(OR(C192="",E192="",H192&lt;&gt;"Sim"),"Pendente","OK"))</f>
        <v/>
      </c>
    </row>
    <row r="193" customFormat="false" ht="15" hidden="false" customHeight="false" outlineLevel="0" collapsed="false">
      <c r="B193" s="27"/>
      <c r="C193" s="27"/>
      <c r="D193" s="29"/>
      <c r="E193" s="29"/>
      <c r="F193" s="31" t="str">
        <f aca="false">IF(COUNTA(D193:E193)=0,"",N(E193)-N(D193))</f>
        <v/>
      </c>
      <c r="G193" s="27"/>
      <c r="H193" s="27"/>
      <c r="I193" s="30" t="str">
        <f aca="false">IF(COUNTA(B193:E193,G193:H193)=0,"",IF(OR(C193="",E193="",H193&lt;&gt;"Sim"),"Pendente","OK"))</f>
        <v/>
      </c>
    </row>
    <row r="194" customFormat="false" ht="15" hidden="false" customHeight="false" outlineLevel="0" collapsed="false">
      <c r="B194" s="27"/>
      <c r="C194" s="27"/>
      <c r="D194" s="29"/>
      <c r="E194" s="29"/>
      <c r="F194" s="31" t="str">
        <f aca="false">IF(COUNTA(D194:E194)=0,"",N(E194)-N(D194))</f>
        <v/>
      </c>
      <c r="G194" s="27"/>
      <c r="H194" s="27"/>
      <c r="I194" s="30" t="str">
        <f aca="false">IF(COUNTA(B194:E194,G194:H194)=0,"",IF(OR(C194="",E194="",H194&lt;&gt;"Sim"),"Pendente","OK"))</f>
        <v/>
      </c>
    </row>
    <row r="195" customFormat="false" ht="15" hidden="false" customHeight="false" outlineLevel="0" collapsed="false">
      <c r="B195" s="27"/>
      <c r="C195" s="27"/>
      <c r="D195" s="29"/>
      <c r="E195" s="29"/>
      <c r="F195" s="31" t="str">
        <f aca="false">IF(COUNTA(D195:E195)=0,"",N(E195)-N(D195))</f>
        <v/>
      </c>
      <c r="G195" s="27"/>
      <c r="H195" s="27"/>
      <c r="I195" s="30" t="str">
        <f aca="false">IF(COUNTA(B195:E195,G195:H195)=0,"",IF(OR(C195="",E195="",H195&lt;&gt;"Sim"),"Pendente","OK"))</f>
        <v/>
      </c>
    </row>
    <row r="196" customFormat="false" ht="15" hidden="false" customHeight="false" outlineLevel="0" collapsed="false">
      <c r="B196" s="27"/>
      <c r="C196" s="27"/>
      <c r="D196" s="29"/>
      <c r="E196" s="29"/>
      <c r="F196" s="31" t="str">
        <f aca="false">IF(COUNTA(D196:E196)=0,"",N(E196)-N(D196))</f>
        <v/>
      </c>
      <c r="G196" s="27"/>
      <c r="H196" s="27"/>
      <c r="I196" s="30" t="str">
        <f aca="false">IF(COUNTA(B196:E196,G196:H196)=0,"",IF(OR(C196="",E196="",H196&lt;&gt;"Sim"),"Pendente","OK"))</f>
        <v/>
      </c>
    </row>
    <row r="197" customFormat="false" ht="15" hidden="false" customHeight="false" outlineLevel="0" collapsed="false">
      <c r="B197" s="27"/>
      <c r="C197" s="27"/>
      <c r="D197" s="29"/>
      <c r="E197" s="29"/>
      <c r="F197" s="31" t="str">
        <f aca="false">IF(COUNTA(D197:E197)=0,"",N(E197)-N(D197))</f>
        <v/>
      </c>
      <c r="G197" s="27"/>
      <c r="H197" s="27"/>
      <c r="I197" s="30" t="str">
        <f aca="false">IF(COUNTA(B197:E197,G197:H197)=0,"",IF(OR(C197="",E197="",H197&lt;&gt;"Sim"),"Pendente","OK"))</f>
        <v/>
      </c>
    </row>
    <row r="198" customFormat="false" ht="15" hidden="false" customHeight="false" outlineLevel="0" collapsed="false">
      <c r="B198" s="27"/>
      <c r="C198" s="27"/>
      <c r="D198" s="29"/>
      <c r="E198" s="29"/>
      <c r="F198" s="31" t="str">
        <f aca="false">IF(COUNTA(D198:E198)=0,"",N(E198)-N(D198))</f>
        <v/>
      </c>
      <c r="G198" s="27"/>
      <c r="H198" s="27"/>
      <c r="I198" s="30" t="str">
        <f aca="false">IF(COUNTA(B198:E198,G198:H198)=0,"",IF(OR(C198="",E198="",H198&lt;&gt;"Sim"),"Pendente","OK"))</f>
        <v/>
      </c>
    </row>
    <row r="199" customFormat="false" ht="15" hidden="false" customHeight="false" outlineLevel="0" collapsed="false">
      <c r="B199" s="27"/>
      <c r="C199" s="27"/>
      <c r="D199" s="29"/>
      <c r="E199" s="29"/>
      <c r="F199" s="31" t="str">
        <f aca="false">IF(COUNTA(D199:E199)=0,"",N(E199)-N(D199))</f>
        <v/>
      </c>
      <c r="G199" s="27"/>
      <c r="H199" s="27"/>
      <c r="I199" s="30" t="str">
        <f aca="false">IF(COUNTA(B199:E199,G199:H199)=0,"",IF(OR(C199="",E199="",H199&lt;&gt;"Sim"),"Pendente","OK"))</f>
        <v/>
      </c>
    </row>
    <row r="200" customFormat="false" ht="15" hidden="false" customHeight="false" outlineLevel="0" collapsed="false">
      <c r="B200" s="27"/>
      <c r="C200" s="27"/>
      <c r="D200" s="29"/>
      <c r="E200" s="29"/>
      <c r="F200" s="31" t="str">
        <f aca="false">IF(COUNTA(D200:E200)=0,"",N(E200)-N(D200))</f>
        <v/>
      </c>
      <c r="G200" s="27"/>
      <c r="H200" s="27"/>
      <c r="I200" s="30" t="str">
        <f aca="false">IF(COUNTA(B200:E200,G200:H200)=0,"",IF(OR(C200="",E200="",H200&lt;&gt;"Sim"),"Pendente","OK"))</f>
        <v/>
      </c>
    </row>
    <row r="201" customFormat="false" ht="15" hidden="false" customHeight="false" outlineLevel="0" collapsed="false">
      <c r="B201" s="27"/>
      <c r="C201" s="27"/>
      <c r="D201" s="29"/>
      <c r="E201" s="29"/>
      <c r="F201" s="31" t="str">
        <f aca="false">IF(COUNTA(D201:E201)=0,"",N(E201)-N(D201))</f>
        <v/>
      </c>
      <c r="G201" s="27"/>
      <c r="H201" s="27"/>
      <c r="I201" s="30" t="str">
        <f aca="false">IF(COUNTA(B201:E201,G201:H201)=0,"",IF(OR(C201="",E201="",H201&lt;&gt;"Sim"),"Pendente","OK"))</f>
        <v/>
      </c>
    </row>
    <row r="202" customFormat="false" ht="15" hidden="false" customHeight="false" outlineLevel="0" collapsed="false">
      <c r="B202" s="27"/>
      <c r="C202" s="27"/>
      <c r="D202" s="29"/>
      <c r="E202" s="29"/>
      <c r="F202" s="31" t="str">
        <f aca="false">IF(COUNTA(D202:E202)=0,"",N(E202)-N(D202))</f>
        <v/>
      </c>
      <c r="G202" s="27"/>
      <c r="H202" s="27"/>
      <c r="I202" s="30" t="str">
        <f aca="false">IF(COUNTA(B202:E202,G202:H202)=0,"",IF(OR(C202="",E202="",H202&lt;&gt;"Sim"),"Pendente","OK"))</f>
        <v/>
      </c>
    </row>
    <row r="203" customFormat="false" ht="15" hidden="false" customHeight="false" outlineLevel="0" collapsed="false">
      <c r="B203" s="27"/>
      <c r="C203" s="27"/>
      <c r="D203" s="29"/>
      <c r="E203" s="29"/>
      <c r="F203" s="31" t="str">
        <f aca="false">IF(COUNTA(D203:E203)=0,"",N(E203)-N(D203))</f>
        <v/>
      </c>
      <c r="G203" s="27"/>
      <c r="H203" s="27"/>
      <c r="I203" s="30" t="str">
        <f aca="false">IF(COUNTA(B203:E203,G203:H203)=0,"",IF(OR(C203="",E203="",H203&lt;&gt;"Sim"),"Pendente","OK"))</f>
        <v/>
      </c>
    </row>
    <row r="204" customFormat="false" ht="15" hidden="false" customHeight="false" outlineLevel="0" collapsed="false">
      <c r="B204" s="27"/>
      <c r="C204" s="27"/>
      <c r="D204" s="29"/>
      <c r="E204" s="29"/>
      <c r="F204" s="31" t="str">
        <f aca="false">IF(COUNTA(D204:E204)=0,"",N(E204)-N(D204))</f>
        <v/>
      </c>
      <c r="G204" s="27"/>
      <c r="H204" s="27"/>
      <c r="I204" s="30" t="str">
        <f aca="false">IF(COUNTA(B204:E204,G204:H204)=0,"",IF(OR(C204="",E204="",H204&lt;&gt;"Sim"),"Pendente","OK"))</f>
        <v/>
      </c>
    </row>
    <row r="205" customFormat="false" ht="15" hidden="false" customHeight="false" outlineLevel="0" collapsed="false">
      <c r="B205" s="27"/>
      <c r="C205" s="27"/>
      <c r="D205" s="29"/>
      <c r="E205" s="29"/>
      <c r="F205" s="31" t="str">
        <f aca="false">IF(COUNTA(D205:E205)=0,"",N(E205)-N(D205))</f>
        <v/>
      </c>
      <c r="G205" s="27"/>
      <c r="H205" s="27"/>
      <c r="I205" s="30" t="str">
        <f aca="false">IF(COUNTA(B205:E205,G205:H205)=0,"",IF(OR(C205="",E205="",H205&lt;&gt;"Sim"),"Pendente","OK"))</f>
        <v/>
      </c>
    </row>
  </sheetData>
  <mergeCells count="1">
    <mergeCell ref="B1:I3"/>
  </mergeCells>
  <conditionalFormatting sqref="I6:I205">
    <cfRule type="cellIs" priority="2" operator="equal" aboveAverage="0" equalAverage="0" bottom="0" percent="0" rank="0" text="" dxfId="0">
      <formula>"Pendente"</formula>
    </cfRule>
    <cfRule type="cellIs" priority="3" operator="equal" aboveAverage="0" equalAverage="0" bottom="0" percent="0" rank="0" text="" dxfId="1">
      <formula>"OK"</formula>
    </cfRule>
  </conditionalFormatting>
  <dataValidations count="4">
    <dataValidation allowBlank="true" error="Escolha uma opção da lista." errorStyle="stop" errorTitle="Valor inválido" operator="between" prompt="Escolha na lista." promptTitle="Grupo" showDropDown="false" showErrorMessage="true" showInputMessage="true" sqref="C6:C205" type="list">
      <formula1>grupos_bens</formula1>
      <formula2>0</formula2>
    </dataValidation>
    <dataValidation allowBlank="true" error="Informe um valor numérico maior ou igual a zero." errorStyle="stop" errorTitle="Valor inválido" operator="between" showDropDown="false" showErrorMessage="true" showInputMessage="false" sqref="D6:D205" type="custom">
      <formula1>AND(ISNUMBER(D6),D6&gt;=0)</formula1>
      <formula2>0</formula2>
    </dataValidation>
    <dataValidation allowBlank="true" error="Informe um valor numérico maior ou igual a zero." errorStyle="stop" errorTitle="Valor inválido" operator="between" showDropDown="false" showErrorMessage="true" showInputMessage="false" sqref="E6:E205" type="custom">
      <formula1>AND(ISNUMBER(E6),E6&gt;=0)</formula1>
      <formula2>0</formula2>
    </dataValidation>
    <dataValidation allowBlank="true" error="Escolha uma opção da lista." errorStyle="stop" errorTitle="Valor inválido" operator="between" prompt="Sim ou Não." promptTitle="Documento em mãos?" showDropDown="false" showErrorMessage="true" showInputMessage="true" sqref="H6:H205" type="list">
      <formula1>sim_nao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B1:E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5" hidden="false" customHeight="false" outlineLevel="0" collapsed="false">
      <c r="B1" s="1" t="s">
        <v>90</v>
      </c>
      <c r="C1" s="1"/>
      <c r="D1" s="1"/>
      <c r="E1" s="1"/>
    </row>
    <row r="2" customFormat="false" ht="15" hidden="false" customHeight="false" outlineLevel="0" collapsed="false">
      <c r="B2" s="1"/>
      <c r="C2" s="1"/>
      <c r="D2" s="1"/>
      <c r="E2" s="1"/>
    </row>
    <row r="3" customFormat="false" ht="15" hidden="false" customHeight="false" outlineLevel="0" collapsed="false">
      <c r="B3" s="1"/>
      <c r="C3" s="1"/>
      <c r="D3" s="1"/>
      <c r="E3" s="1"/>
    </row>
    <row r="4" customFormat="false" ht="15" hidden="false" customHeight="false" outlineLevel="0" collapsed="false">
      <c r="B4" s="12" t="str">
        <f aca="false">HYPERLINK("#'Menu'!A1","« Voltar ao Menu")</f>
        <v>« Voltar ao Menu</v>
      </c>
      <c r="D4" s="25" t="s">
        <v>91</v>
      </c>
    </row>
    <row r="5" customFormat="false" ht="30" hidden="false" customHeight="true" outlineLevel="0" collapsed="false">
      <c r="B5" s="15" t="s">
        <v>92</v>
      </c>
      <c r="C5" s="15" t="s">
        <v>93</v>
      </c>
      <c r="D5" s="15" t="s">
        <v>94</v>
      </c>
      <c r="E5" s="15" t="s">
        <v>82</v>
      </c>
    </row>
    <row r="6" customFormat="false" ht="15" hidden="false" customHeight="false" outlineLevel="0" collapsed="false">
      <c r="B6" s="27" t="s">
        <v>95</v>
      </c>
      <c r="C6" s="27" t="s">
        <v>96</v>
      </c>
      <c r="D6" s="32" t="s">
        <v>97</v>
      </c>
      <c r="E6" s="27"/>
    </row>
    <row r="7" customFormat="false" ht="15" hidden="false" customHeight="false" outlineLevel="0" collapsed="false">
      <c r="B7" s="27" t="s">
        <v>98</v>
      </c>
      <c r="C7" s="27" t="s">
        <v>99</v>
      </c>
      <c r="D7" s="32" t="s">
        <v>97</v>
      </c>
      <c r="E7" s="27"/>
    </row>
    <row r="8" customFormat="false" ht="15" hidden="false" customHeight="false" outlineLevel="0" collapsed="false">
      <c r="B8" s="27" t="s">
        <v>100</v>
      </c>
      <c r="C8" s="27" t="s">
        <v>101</v>
      </c>
      <c r="D8" s="32" t="s">
        <v>97</v>
      </c>
      <c r="E8" s="27"/>
    </row>
    <row r="9" customFormat="false" ht="15" hidden="false" customHeight="false" outlineLevel="0" collapsed="false">
      <c r="B9" s="27" t="s">
        <v>102</v>
      </c>
      <c r="C9" s="27" t="s">
        <v>103</v>
      </c>
      <c r="D9" s="32" t="s">
        <v>97</v>
      </c>
      <c r="E9" s="27"/>
    </row>
    <row r="10" customFormat="false" ht="15" hidden="false" customHeight="false" outlineLevel="0" collapsed="false">
      <c r="B10" s="27" t="s">
        <v>104</v>
      </c>
      <c r="C10" s="27" t="s">
        <v>105</v>
      </c>
      <c r="D10" s="32" t="s">
        <v>97</v>
      </c>
      <c r="E10" s="27"/>
    </row>
    <row r="11" customFormat="false" ht="15" hidden="false" customHeight="false" outlineLevel="0" collapsed="false">
      <c r="B11" s="27" t="s">
        <v>106</v>
      </c>
      <c r="C11" s="27" t="s">
        <v>107</v>
      </c>
      <c r="D11" s="32" t="s">
        <v>97</v>
      </c>
      <c r="E11" s="27"/>
    </row>
    <row r="12" customFormat="false" ht="15" hidden="false" customHeight="false" outlineLevel="0" collapsed="false">
      <c r="B12" s="27" t="s">
        <v>108</v>
      </c>
      <c r="C12" s="27" t="s">
        <v>109</v>
      </c>
      <c r="D12" s="32" t="s">
        <v>97</v>
      </c>
      <c r="E12" s="27"/>
    </row>
    <row r="13" customFormat="false" ht="15" hidden="false" customHeight="false" outlineLevel="0" collapsed="false">
      <c r="B13" s="27" t="s">
        <v>110</v>
      </c>
      <c r="C13" s="27" t="s">
        <v>111</v>
      </c>
      <c r="D13" s="32" t="s">
        <v>97</v>
      </c>
      <c r="E13" s="27"/>
    </row>
    <row r="14" customFormat="false" ht="15" hidden="false" customHeight="false" outlineLevel="0" collapsed="false">
      <c r="B14" s="27" t="s">
        <v>112</v>
      </c>
      <c r="C14" s="27" t="s">
        <v>113</v>
      </c>
      <c r="D14" s="32" t="s">
        <v>97</v>
      </c>
      <c r="E14" s="27"/>
    </row>
    <row r="15" customFormat="false" ht="15" hidden="false" customHeight="false" outlineLevel="0" collapsed="false">
      <c r="B15" s="27" t="s">
        <v>114</v>
      </c>
      <c r="C15" s="27" t="s">
        <v>115</v>
      </c>
      <c r="D15" s="32" t="s">
        <v>97</v>
      </c>
      <c r="E15" s="27"/>
    </row>
    <row r="16" customFormat="false" ht="15" hidden="false" customHeight="false" outlineLevel="0" collapsed="false">
      <c r="B16" s="27"/>
      <c r="C16" s="27"/>
      <c r="D16" s="32"/>
      <c r="E16" s="27"/>
    </row>
    <row r="17" customFormat="false" ht="15" hidden="false" customHeight="false" outlineLevel="0" collapsed="false">
      <c r="B17" s="27"/>
      <c r="C17" s="27"/>
      <c r="D17" s="32"/>
      <c r="E17" s="27"/>
    </row>
    <row r="18" customFormat="false" ht="15" hidden="false" customHeight="false" outlineLevel="0" collapsed="false">
      <c r="B18" s="27"/>
      <c r="C18" s="27"/>
      <c r="D18" s="32"/>
      <c r="E18" s="27"/>
    </row>
    <row r="19" customFormat="false" ht="15" hidden="false" customHeight="false" outlineLevel="0" collapsed="false">
      <c r="B19" s="27"/>
      <c r="C19" s="27"/>
      <c r="D19" s="32"/>
      <c r="E19" s="27"/>
    </row>
    <row r="20" customFormat="false" ht="15" hidden="false" customHeight="false" outlineLevel="0" collapsed="false">
      <c r="B20" s="27"/>
      <c r="C20" s="27"/>
      <c r="D20" s="32"/>
      <c r="E20" s="27"/>
    </row>
    <row r="21" customFormat="false" ht="15" hidden="false" customHeight="false" outlineLevel="0" collapsed="false">
      <c r="B21" s="27"/>
      <c r="C21" s="27"/>
      <c r="D21" s="32"/>
      <c r="E21" s="27"/>
    </row>
    <row r="22" customFormat="false" ht="15" hidden="false" customHeight="false" outlineLevel="0" collapsed="false">
      <c r="B22" s="27"/>
      <c r="C22" s="27"/>
      <c r="D22" s="32"/>
      <c r="E22" s="27"/>
    </row>
    <row r="23" customFormat="false" ht="15" hidden="false" customHeight="false" outlineLevel="0" collapsed="false">
      <c r="B23" s="27"/>
      <c r="C23" s="27"/>
      <c r="D23" s="32"/>
      <c r="E23" s="27"/>
    </row>
    <row r="24" customFormat="false" ht="15" hidden="false" customHeight="false" outlineLevel="0" collapsed="false">
      <c r="B24" s="27"/>
      <c r="C24" s="27"/>
      <c r="D24" s="32"/>
      <c r="E24" s="27"/>
    </row>
    <row r="25" customFormat="false" ht="15" hidden="false" customHeight="false" outlineLevel="0" collapsed="false">
      <c r="B25" s="27"/>
      <c r="C25" s="27"/>
      <c r="D25" s="32"/>
      <c r="E25" s="27"/>
    </row>
    <row r="26" customFormat="false" ht="15" hidden="false" customHeight="false" outlineLevel="0" collapsed="false">
      <c r="B26" s="27"/>
      <c r="C26" s="27"/>
      <c r="D26" s="32"/>
      <c r="E26" s="27"/>
    </row>
    <row r="27" customFormat="false" ht="15" hidden="false" customHeight="false" outlineLevel="0" collapsed="false">
      <c r="B27" s="27"/>
      <c r="C27" s="27"/>
      <c r="D27" s="32"/>
      <c r="E27" s="27"/>
    </row>
    <row r="28" customFormat="false" ht="15" hidden="false" customHeight="false" outlineLevel="0" collapsed="false">
      <c r="B28" s="27"/>
      <c r="C28" s="27"/>
      <c r="D28" s="32"/>
      <c r="E28" s="27"/>
    </row>
    <row r="29" customFormat="false" ht="15" hidden="false" customHeight="false" outlineLevel="0" collapsed="false">
      <c r="B29" s="27"/>
      <c r="C29" s="27"/>
      <c r="D29" s="32"/>
      <c r="E29" s="27"/>
    </row>
    <row r="30" customFormat="false" ht="15" hidden="false" customHeight="false" outlineLevel="0" collapsed="false">
      <c r="B30" s="27"/>
      <c r="C30" s="27"/>
      <c r="D30" s="32"/>
      <c r="E30" s="27"/>
    </row>
    <row r="31" customFormat="false" ht="15" hidden="false" customHeight="false" outlineLevel="0" collapsed="false">
      <c r="B31" s="27"/>
      <c r="C31" s="27"/>
      <c r="D31" s="32"/>
      <c r="E31" s="27"/>
    </row>
    <row r="32" customFormat="false" ht="15" hidden="false" customHeight="false" outlineLevel="0" collapsed="false">
      <c r="B32" s="27"/>
      <c r="C32" s="27"/>
      <c r="D32" s="32"/>
      <c r="E32" s="27"/>
    </row>
    <row r="33" customFormat="false" ht="15" hidden="false" customHeight="false" outlineLevel="0" collapsed="false">
      <c r="B33" s="27"/>
      <c r="C33" s="27"/>
      <c r="D33" s="32"/>
      <c r="E33" s="27"/>
    </row>
    <row r="34" customFormat="false" ht="15" hidden="false" customHeight="false" outlineLevel="0" collapsed="false">
      <c r="B34" s="27"/>
      <c r="C34" s="27"/>
      <c r="D34" s="32"/>
      <c r="E34" s="27"/>
    </row>
    <row r="35" customFormat="false" ht="15" hidden="false" customHeight="false" outlineLevel="0" collapsed="false">
      <c r="B35" s="27"/>
      <c r="C35" s="27"/>
      <c r="D35" s="32"/>
      <c r="E35" s="27"/>
    </row>
    <row r="36" customFormat="false" ht="15" hidden="false" customHeight="false" outlineLevel="0" collapsed="false">
      <c r="B36" s="27"/>
      <c r="C36" s="27"/>
      <c r="D36" s="32"/>
      <c r="E36" s="27"/>
    </row>
    <row r="37" customFormat="false" ht="15" hidden="false" customHeight="false" outlineLevel="0" collapsed="false">
      <c r="B37" s="27"/>
      <c r="C37" s="27"/>
      <c r="D37" s="32"/>
      <c r="E37" s="27"/>
    </row>
    <row r="38" customFormat="false" ht="15" hidden="false" customHeight="false" outlineLevel="0" collapsed="false">
      <c r="B38" s="27"/>
      <c r="C38" s="27"/>
      <c r="D38" s="32"/>
      <c r="E38" s="27"/>
    </row>
    <row r="39" customFormat="false" ht="15" hidden="false" customHeight="false" outlineLevel="0" collapsed="false">
      <c r="B39" s="27"/>
      <c r="C39" s="27"/>
      <c r="D39" s="32"/>
      <c r="E39" s="27"/>
    </row>
    <row r="40" customFormat="false" ht="15" hidden="false" customHeight="false" outlineLevel="0" collapsed="false">
      <c r="B40" s="27"/>
      <c r="C40" s="27"/>
      <c r="D40" s="32"/>
      <c r="E40" s="27"/>
    </row>
    <row r="41" customFormat="false" ht="15" hidden="false" customHeight="false" outlineLevel="0" collapsed="false">
      <c r="B41" s="27"/>
      <c r="C41" s="27"/>
      <c r="D41" s="32"/>
      <c r="E41" s="27"/>
    </row>
    <row r="42" customFormat="false" ht="15" hidden="false" customHeight="false" outlineLevel="0" collapsed="false">
      <c r="B42" s="27"/>
      <c r="C42" s="27"/>
      <c r="D42" s="32"/>
      <c r="E42" s="27"/>
    </row>
    <row r="43" customFormat="false" ht="15" hidden="false" customHeight="false" outlineLevel="0" collapsed="false">
      <c r="B43" s="27"/>
      <c r="C43" s="27"/>
      <c r="D43" s="32"/>
      <c r="E43" s="27"/>
    </row>
    <row r="44" customFormat="false" ht="15" hidden="false" customHeight="false" outlineLevel="0" collapsed="false">
      <c r="B44" s="27"/>
      <c r="C44" s="27"/>
      <c r="D44" s="32"/>
      <c r="E44" s="27"/>
    </row>
    <row r="45" customFormat="false" ht="15" hidden="false" customHeight="false" outlineLevel="0" collapsed="false">
      <c r="B45" s="27"/>
      <c r="C45" s="27"/>
      <c r="D45" s="32"/>
      <c r="E45" s="27"/>
    </row>
    <row r="46" customFormat="false" ht="15" hidden="false" customHeight="false" outlineLevel="0" collapsed="false">
      <c r="B46" s="27"/>
      <c r="C46" s="27"/>
      <c r="D46" s="32"/>
      <c r="E46" s="27"/>
    </row>
    <row r="47" customFormat="false" ht="15" hidden="false" customHeight="false" outlineLevel="0" collapsed="false">
      <c r="B47" s="27"/>
      <c r="C47" s="27"/>
      <c r="D47" s="32"/>
      <c r="E47" s="27"/>
    </row>
    <row r="48" customFormat="false" ht="15" hidden="false" customHeight="false" outlineLevel="0" collapsed="false">
      <c r="B48" s="27"/>
      <c r="C48" s="27"/>
      <c r="D48" s="32"/>
      <c r="E48" s="27"/>
    </row>
    <row r="49" customFormat="false" ht="15" hidden="false" customHeight="false" outlineLevel="0" collapsed="false">
      <c r="B49" s="27"/>
      <c r="C49" s="27"/>
      <c r="D49" s="32"/>
      <c r="E49" s="27"/>
    </row>
    <row r="50" customFormat="false" ht="15" hidden="false" customHeight="false" outlineLevel="0" collapsed="false">
      <c r="B50" s="27"/>
      <c r="C50" s="27"/>
      <c r="D50" s="32"/>
      <c r="E50" s="27"/>
    </row>
    <row r="51" customFormat="false" ht="15" hidden="false" customHeight="false" outlineLevel="0" collapsed="false">
      <c r="B51" s="27"/>
      <c r="C51" s="27"/>
      <c r="D51" s="32"/>
      <c r="E51" s="27"/>
    </row>
    <row r="52" customFormat="false" ht="15" hidden="false" customHeight="false" outlineLevel="0" collapsed="false">
      <c r="B52" s="27"/>
      <c r="C52" s="27"/>
      <c r="D52" s="32"/>
      <c r="E52" s="27"/>
    </row>
    <row r="53" customFormat="false" ht="15" hidden="false" customHeight="false" outlineLevel="0" collapsed="false">
      <c r="B53" s="27"/>
      <c r="C53" s="27"/>
      <c r="D53" s="32"/>
      <c r="E53" s="27"/>
    </row>
    <row r="54" customFormat="false" ht="15" hidden="false" customHeight="false" outlineLevel="0" collapsed="false">
      <c r="B54" s="27"/>
      <c r="C54" s="27"/>
      <c r="D54" s="32"/>
      <c r="E54" s="27"/>
    </row>
    <row r="55" customFormat="false" ht="15" hidden="false" customHeight="false" outlineLevel="0" collapsed="false">
      <c r="B55" s="27"/>
      <c r="C55" s="27"/>
      <c r="D55" s="32"/>
      <c r="E55" s="27"/>
    </row>
  </sheetData>
  <mergeCells count="1">
    <mergeCell ref="B1:E3"/>
  </mergeCells>
  <conditionalFormatting sqref="D6:D55">
    <cfRule type="cellIs" priority="2" operator="equal" aboveAverage="0" equalAverage="0" bottom="0" percent="0" rank="0" text="" dxfId="0">
      <formula>"Pendente"</formula>
    </cfRule>
    <cfRule type="cellIs" priority="3" operator="equal" aboveAverage="0" equalAverage="0" bottom="0" percent="0" rank="0" text="" dxfId="2">
      <formula>"Recebido"</formula>
    </cfRule>
    <cfRule type="cellIs" priority="4" operator="equal" aboveAverage="0" equalAverage="0" bottom="0" percent="0" rank="0" text="" dxfId="1">
      <formula>"Conferido"</formula>
    </cfRule>
  </conditionalFormatting>
  <dataValidations count="1">
    <dataValidation allowBlank="true" error="Escolha uma opção da lista." errorStyle="stop" errorTitle="Valor inválido" operator="between" prompt="Pendente, Recebido ou Conferido." promptTitle="Status" showDropDown="false" showErrorMessage="true" showInputMessage="true" sqref="D6:D55" type="list">
      <formula1>status_doc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3"/>
    <col collapsed="false" customWidth="true" hidden="false" outlineLevel="0" max="4" min="4" style="0" width="28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12"/>
  </cols>
  <sheetData>
    <row r="1" customFormat="false" ht="15" hidden="false" customHeight="false" outlineLevel="0" collapsed="false">
      <c r="B1" s="1" t="s">
        <v>116</v>
      </c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B4" s="12" t="str">
        <f aca="false">HYPERLINK("#'Menu'!A1","« Voltar ao Menu")</f>
        <v>« Voltar ao Menu</v>
      </c>
    </row>
    <row r="5" customFormat="false" ht="30" hidden="false" customHeight="true" outlineLevel="0" collapsed="false">
      <c r="B5" s="33" t="s">
        <v>117</v>
      </c>
      <c r="D5" s="33" t="s">
        <v>118</v>
      </c>
      <c r="F5" s="33" t="s">
        <v>119</v>
      </c>
      <c r="H5" s="33" t="s">
        <v>120</v>
      </c>
      <c r="J5" s="33" t="s">
        <v>121</v>
      </c>
    </row>
    <row r="6" customFormat="false" ht="15" hidden="false" customHeight="false" outlineLevel="0" collapsed="false">
      <c r="B6" s="27" t="s">
        <v>55</v>
      </c>
      <c r="D6" s="27" t="s">
        <v>71</v>
      </c>
      <c r="F6" s="27" t="s">
        <v>85</v>
      </c>
      <c r="H6" s="27" t="s">
        <v>97</v>
      </c>
      <c r="J6" s="27" t="s">
        <v>56</v>
      </c>
    </row>
    <row r="7" customFormat="false" ht="15" hidden="false" customHeight="false" outlineLevel="0" collapsed="false">
      <c r="B7" s="27" t="s">
        <v>62</v>
      </c>
      <c r="D7" s="27" t="s">
        <v>74</v>
      </c>
      <c r="F7" s="27" t="s">
        <v>87</v>
      </c>
      <c r="H7" s="27" t="s">
        <v>122</v>
      </c>
      <c r="J7" s="27" t="s">
        <v>63</v>
      </c>
    </row>
    <row r="8" customFormat="false" ht="15" hidden="false" customHeight="false" outlineLevel="0" collapsed="false">
      <c r="B8" s="27" t="s">
        <v>59</v>
      </c>
      <c r="D8" s="27" t="s">
        <v>123</v>
      </c>
      <c r="F8" s="27" t="s">
        <v>124</v>
      </c>
      <c r="H8" s="27" t="s">
        <v>125</v>
      </c>
    </row>
    <row r="9" customFormat="false" ht="15" hidden="false" customHeight="false" outlineLevel="0" collapsed="false">
      <c r="B9" s="27" t="s">
        <v>126</v>
      </c>
      <c r="D9" s="27" t="s">
        <v>127</v>
      </c>
      <c r="F9" s="27" t="s">
        <v>89</v>
      </c>
    </row>
    <row r="10" customFormat="false" ht="15" hidden="false" customHeight="false" outlineLevel="0" collapsed="false">
      <c r="B10" s="27" t="s">
        <v>128</v>
      </c>
      <c r="D10" s="27" t="s">
        <v>129</v>
      </c>
      <c r="F10" s="27" t="s">
        <v>130</v>
      </c>
    </row>
    <row r="11" customFormat="false" ht="15" hidden="false" customHeight="false" outlineLevel="0" collapsed="false">
      <c r="B11" s="27" t="s">
        <v>131</v>
      </c>
      <c r="F11" s="27" t="s">
        <v>132</v>
      </c>
    </row>
    <row r="14" customFormat="false" ht="15" hidden="false" customHeight="false" outlineLevel="0" collapsed="false">
      <c r="B14" s="25" t="s">
        <v>133</v>
      </c>
    </row>
  </sheetData>
  <mergeCells count="1">
    <mergeCell ref="B1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2026-10-17T20:57:45Z</dcterms:created>
  <dc:creator>openpyxl</dc:creator>
  <dc:description/>
  <dc:language>en-US</dc:language>
  <cp:lastModifiedBy/>
  <dcterms:modified xsi:type="dcterms:W3CDTF">2026-10-17T20:57:48Z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